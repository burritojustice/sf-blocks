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I:\Communications\Dept - Neighborhood Group List\MASTER COPY\website\"/>
    </mc:Choice>
  </mc:AlternateContent>
  <xr:revisionPtr revIDLastSave="0" documentId="13_ncr:1_{A25E0C9B-6692-439E-A5D3-84530F616E0D}" xr6:coauthVersionLast="47" xr6:coauthVersionMax="47" xr10:uidLastSave="{00000000-0000-0000-0000-000000000000}"/>
  <bookViews>
    <workbookView xWindow="-120" yWindow="-120" windowWidth="38640" windowHeight="21120" xr2:uid="{00000000-000D-0000-FFFF-FFFF00000000}"/>
  </bookViews>
  <sheets>
    <sheet name="Complete List_09252026" sheetId="1" r:id="rId1"/>
    <sheet name="Citywide" sheetId="2" r:id="rId2"/>
    <sheet name="Bayview" sheetId="3" r:id="rId3"/>
    <sheet name="Bernal Heights" sheetId="4" r:id="rId4"/>
    <sheet name="Castro Upper Market" sheetId="5" r:id="rId5"/>
    <sheet name="Chinatown" sheetId="6" r:id="rId6"/>
    <sheet name="Crocker Amazon" sheetId="7" r:id="rId7"/>
    <sheet name="Diamond Heights" sheetId="8" r:id="rId8"/>
    <sheet name="Downtown Civic Center" sheetId="9" r:id="rId9"/>
    <sheet name="Excelsior" sheetId="10" r:id="rId10"/>
    <sheet name="Financial District" sheetId="11" r:id="rId11"/>
    <sheet name="Glen Park" sheetId="12" r:id="rId12"/>
    <sheet name="Golden Gate Park" sheetId="13" r:id="rId13"/>
    <sheet name="Haight Ashbury" sheetId="14" r:id="rId14"/>
    <sheet name="Inner Richmond" sheetId="15" r:id="rId15"/>
    <sheet name="Inner Sunset" sheetId="16" r:id="rId16"/>
    <sheet name="Lakeshore" sheetId="17" r:id="rId17"/>
    <sheet name="Marina" sheetId="18" r:id="rId18"/>
    <sheet name="Mission" sheetId="19" r:id="rId19"/>
    <sheet name="Nob Hill" sheetId="20" r:id="rId20"/>
    <sheet name="Noe Valley" sheetId="21" r:id="rId21"/>
    <sheet name="North Beach" sheetId="22" r:id="rId22"/>
    <sheet name="Ocean View" sheetId="23" r:id="rId23"/>
    <sheet name="Outer Mission" sheetId="24" r:id="rId24"/>
    <sheet name="Outer Richmond" sheetId="25" r:id="rId25"/>
    <sheet name="Outer Sunset" sheetId="26" r:id="rId26"/>
    <sheet name="Pacific Heights" sheetId="27" r:id="rId27"/>
    <sheet name="Parkside" sheetId="28" r:id="rId28"/>
    <sheet name="Potrero Hill" sheetId="29" r:id="rId29"/>
    <sheet name="Presidio" sheetId="30" r:id="rId30"/>
    <sheet name="Presidio Heights" sheetId="31" r:id="rId31"/>
    <sheet name="Russian Hill" sheetId="32" r:id="rId32"/>
    <sheet name="Seacliff" sheetId="33" r:id="rId33"/>
    <sheet name="South of Market" sheetId="34" r:id="rId34"/>
    <sheet name="Treasure Island YBI" sheetId="35" r:id="rId35"/>
    <sheet name="Twin Peaks" sheetId="36" r:id="rId36"/>
    <sheet name="Visitacion Valley" sheetId="37" r:id="rId37"/>
    <sheet name="West of Twin Peaks" sheetId="38" r:id="rId38"/>
    <sheet name="Western Addition" sheetId="39" r:id="rId39"/>
  </sheets>
  <definedNames>
    <definedName name="_xlnm._FilterDatabase" localSheetId="2" hidden="1">Bayview!$A$1:$H$1</definedName>
    <definedName name="_xlnm._FilterDatabase" localSheetId="3" hidden="1">'Bernal Heights'!$A$1:$I$1</definedName>
    <definedName name="_xlnm._FilterDatabase" localSheetId="4" hidden="1">'Castro Upper Market'!$A$1:$I$1</definedName>
    <definedName name="_xlnm._FilterDatabase" localSheetId="5" hidden="1">Chinatown!$A$1:$I$1</definedName>
    <definedName name="_xlnm._FilterDatabase" localSheetId="1" hidden="1">Citywide!$A$1:$I$1</definedName>
    <definedName name="_xlnm._FilterDatabase" localSheetId="6" hidden="1">'Crocker Amazon'!$A$1:$I$1</definedName>
    <definedName name="_xlnm._FilterDatabase" localSheetId="7" hidden="1">'Diamond Heights'!$A$1:$I$1</definedName>
    <definedName name="_xlnm._FilterDatabase" localSheetId="8" hidden="1">'Downtown Civic Center'!$A$1:$I$1</definedName>
    <definedName name="_xlnm._FilterDatabase" localSheetId="9" hidden="1">Excelsior!$A$1:$I$1</definedName>
    <definedName name="_xlnm._FilterDatabase" localSheetId="10" hidden="1">'Financial District'!$A$1:$I$1</definedName>
    <definedName name="_xlnm._FilterDatabase" localSheetId="11" hidden="1">'Glen Park'!$A$1:$I$1</definedName>
    <definedName name="_xlnm._FilterDatabase" localSheetId="12" hidden="1">'Golden Gate Park'!$A$1:$I$1</definedName>
    <definedName name="_xlnm._FilterDatabase" localSheetId="13" hidden="1">'Haight Ashbury'!$A$1:$I$1</definedName>
    <definedName name="_xlnm._FilterDatabase" localSheetId="14" hidden="1">'Inner Richmond'!$A$1:$I$1</definedName>
    <definedName name="_xlnm._FilterDatabase" localSheetId="15" hidden="1">'Inner Sunset'!$A$1:$K$1</definedName>
    <definedName name="_xlnm._FilterDatabase" localSheetId="16" hidden="1">Lakeshore!$A$1:$K$1</definedName>
    <definedName name="_xlnm._FilterDatabase" localSheetId="17" hidden="1">Marina!$A$1:$I$1</definedName>
    <definedName name="_xlnm._FilterDatabase" localSheetId="18" hidden="1">Mission!$A$1:$I$1</definedName>
    <definedName name="_xlnm._FilterDatabase" localSheetId="19" hidden="1">'Nob Hill'!$A$1:$I$1</definedName>
    <definedName name="_xlnm._FilterDatabase" localSheetId="20" hidden="1">'Noe Valley'!$A$1:$I$1</definedName>
    <definedName name="_xlnm._FilterDatabase" localSheetId="21" hidden="1">'North Beach'!$A$1:$I$1</definedName>
    <definedName name="_xlnm._FilterDatabase" localSheetId="22" hidden="1">'Ocean View'!$A$1:$I$1</definedName>
    <definedName name="_xlnm._FilterDatabase" localSheetId="23" hidden="1">'Outer Mission'!$A$1:$I$1</definedName>
    <definedName name="_xlnm._FilterDatabase" localSheetId="24" hidden="1">'Outer Richmond'!$A$1:$I$1</definedName>
    <definedName name="_xlnm._FilterDatabase" localSheetId="25" hidden="1">'Outer Sunset'!$A$1:$I$1</definedName>
    <definedName name="_xlnm._FilterDatabase" localSheetId="26" hidden="1">'Pacific Heights'!$A$1:$I$1</definedName>
    <definedName name="_xlnm._FilterDatabase" localSheetId="27" hidden="1">Parkside!$A$1:$I$1</definedName>
    <definedName name="_xlnm._FilterDatabase" localSheetId="28" hidden="1">'Potrero Hill'!$A$1:$I$1</definedName>
    <definedName name="_xlnm._FilterDatabase" localSheetId="29" hidden="1">Presidio!$A$1:$I$1</definedName>
    <definedName name="_xlnm._FilterDatabase" localSheetId="30" hidden="1">'Presidio Heights'!$A$1:$I$1</definedName>
    <definedName name="_xlnm._FilterDatabase" localSheetId="31" hidden="1">'Russian Hill'!$A$1:$I$1</definedName>
    <definedName name="_xlnm._FilterDatabase" localSheetId="32" hidden="1">Seacliff!$A$1:$I$1</definedName>
    <definedName name="_xlnm._FilterDatabase" localSheetId="33" hidden="1">'South of Market'!$A$1:$J$1</definedName>
    <definedName name="_xlnm._FilterDatabase" localSheetId="34" hidden="1">'Treasure Island YBI'!$A$1:$I$1</definedName>
    <definedName name="_xlnm._FilterDatabase" localSheetId="35" hidden="1">'Twin Peaks'!$A$1:$I$1</definedName>
    <definedName name="_xlnm._FilterDatabase" localSheetId="36" hidden="1">'Visitacion Valley'!$A$1:$I$1</definedName>
    <definedName name="_xlnm._FilterDatabase" localSheetId="37" hidden="1">'West of Twin Peaks'!$A$1:$J$1</definedName>
    <definedName name="_xlnm._FilterDatabase" localSheetId="38" hidden="1">'Western Addition'!$A$1:$I$21</definedName>
    <definedName name="Neighborhood_Main">'Complete List_09252026'!$A$2:$L$309</definedName>
    <definedName name="Query_Neighborhood_List_Affiliation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5" i="37" l="1"/>
  <c r="H25" i="37"/>
  <c r="G25" i="37"/>
  <c r="F25" i="37"/>
  <c r="E25" i="37"/>
  <c r="D25" i="37"/>
  <c r="C25" i="37"/>
  <c r="B25" i="37"/>
  <c r="A25" i="37"/>
  <c r="I20" i="24"/>
  <c r="H20" i="24"/>
  <c r="G20" i="24"/>
  <c r="F20" i="24"/>
  <c r="E20" i="24"/>
  <c r="D20" i="24"/>
  <c r="C20" i="24"/>
  <c r="B20" i="24"/>
  <c r="A20" i="24"/>
  <c r="I15" i="12"/>
  <c r="H15" i="12"/>
  <c r="G15" i="12"/>
  <c r="F15" i="12"/>
  <c r="E15" i="12"/>
  <c r="D15" i="12"/>
  <c r="C15" i="12"/>
  <c r="B15" i="12"/>
  <c r="A15" i="12"/>
  <c r="I22" i="10"/>
  <c r="H22" i="10"/>
  <c r="G22" i="10"/>
  <c r="F22" i="10"/>
  <c r="E22" i="10"/>
  <c r="D22" i="10"/>
  <c r="C22" i="10"/>
  <c r="B22" i="10"/>
  <c r="A22" i="10"/>
  <c r="I14" i="7"/>
  <c r="H14" i="7"/>
  <c r="G14" i="7"/>
  <c r="F14" i="7"/>
  <c r="E14" i="7"/>
  <c r="D14" i="7"/>
  <c r="C14" i="7"/>
  <c r="B14" i="7"/>
  <c r="A14" i="7"/>
  <c r="I33" i="3"/>
  <c r="H33" i="3"/>
  <c r="G33" i="3"/>
  <c r="F33" i="3"/>
  <c r="E33" i="3"/>
  <c r="D33" i="3"/>
  <c r="C33" i="3"/>
  <c r="B33" i="3"/>
  <c r="A33" i="3"/>
  <c r="I10" i="29"/>
  <c r="H10" i="29"/>
  <c r="G10" i="29"/>
  <c r="F10" i="29"/>
  <c r="E10" i="29"/>
  <c r="D10" i="29"/>
  <c r="C10" i="29"/>
  <c r="B10" i="29"/>
  <c r="A10" i="29"/>
  <c r="I27" i="34"/>
  <c r="H27" i="34"/>
  <c r="G27" i="34"/>
  <c r="F27" i="34"/>
  <c r="E27" i="34"/>
  <c r="D27" i="34"/>
  <c r="C27" i="34"/>
  <c r="B27" i="34"/>
  <c r="A27" i="34"/>
  <c r="I36" i="39"/>
  <c r="H36" i="39"/>
  <c r="G36" i="39"/>
  <c r="F36" i="39"/>
  <c r="E36" i="39"/>
  <c r="D36" i="39"/>
  <c r="C36" i="39"/>
  <c r="B36" i="39"/>
  <c r="A36" i="39"/>
  <c r="I35" i="39"/>
  <c r="H35" i="39"/>
  <c r="G35" i="39"/>
  <c r="F35" i="39"/>
  <c r="E35" i="39"/>
  <c r="D35" i="39"/>
  <c r="C35" i="39"/>
  <c r="B35" i="39"/>
  <c r="A35" i="39"/>
  <c r="I34" i="39"/>
  <c r="H34" i="39"/>
  <c r="G34" i="39"/>
  <c r="F34" i="39"/>
  <c r="E34" i="39"/>
  <c r="D34" i="39"/>
  <c r="C34" i="39"/>
  <c r="B34" i="39"/>
  <c r="A34" i="39"/>
  <c r="I32" i="39"/>
  <c r="H32" i="39"/>
  <c r="G32" i="39"/>
  <c r="F32" i="39"/>
  <c r="E32" i="39"/>
  <c r="D32" i="39"/>
  <c r="C32" i="39"/>
  <c r="A32" i="39"/>
  <c r="I31" i="39"/>
  <c r="H31" i="39"/>
  <c r="G31" i="39"/>
  <c r="F31" i="39"/>
  <c r="E31" i="39"/>
  <c r="D31" i="39"/>
  <c r="C31" i="39"/>
  <c r="A31" i="39"/>
  <c r="I30" i="39"/>
  <c r="H30" i="39"/>
  <c r="G30" i="39"/>
  <c r="F30" i="39"/>
  <c r="E30" i="39"/>
  <c r="D30" i="39"/>
  <c r="C30" i="39"/>
  <c r="A30" i="39"/>
  <c r="I29" i="39"/>
  <c r="H29" i="39"/>
  <c r="G29" i="39"/>
  <c r="F29" i="39"/>
  <c r="E29" i="39"/>
  <c r="D29" i="39"/>
  <c r="C29" i="39"/>
  <c r="A29" i="39"/>
  <c r="I28" i="39"/>
  <c r="H28" i="39"/>
  <c r="G28" i="39"/>
  <c r="F28" i="39"/>
  <c r="E28" i="39"/>
  <c r="D28" i="39"/>
  <c r="C28" i="39"/>
  <c r="B28" i="39"/>
  <c r="A28" i="39"/>
  <c r="I27" i="39"/>
  <c r="H27" i="39"/>
  <c r="G27" i="39"/>
  <c r="F27" i="39"/>
  <c r="E27" i="39"/>
  <c r="D27" i="39"/>
  <c r="C27" i="39"/>
  <c r="A27" i="39"/>
  <c r="I26" i="39"/>
  <c r="H26" i="39"/>
  <c r="G26" i="39"/>
  <c r="F26" i="39"/>
  <c r="E26" i="39"/>
  <c r="D26" i="39"/>
  <c r="C26" i="39"/>
  <c r="B26" i="39"/>
  <c r="A26" i="39"/>
  <c r="I25" i="39"/>
  <c r="H25" i="39"/>
  <c r="G25" i="39"/>
  <c r="F25" i="39"/>
  <c r="E25" i="39"/>
  <c r="D25" i="39"/>
  <c r="C25" i="39"/>
  <c r="A25" i="39"/>
  <c r="I24" i="39"/>
  <c r="H24" i="39"/>
  <c r="G24" i="39"/>
  <c r="F24" i="39"/>
  <c r="E24" i="39"/>
  <c r="D24" i="39"/>
  <c r="C24" i="39"/>
  <c r="A24" i="39"/>
  <c r="I23" i="39"/>
  <c r="H23" i="39"/>
  <c r="G23" i="39"/>
  <c r="F23" i="39"/>
  <c r="E23" i="39"/>
  <c r="D23" i="39"/>
  <c r="C23" i="39"/>
  <c r="B23" i="39"/>
  <c r="A23" i="39"/>
  <c r="I22" i="39"/>
  <c r="H22" i="39"/>
  <c r="G22" i="39"/>
  <c r="F22" i="39"/>
  <c r="E22" i="39"/>
  <c r="D22" i="39"/>
  <c r="C22" i="39"/>
  <c r="A22" i="39"/>
  <c r="I21" i="39"/>
  <c r="H21" i="39"/>
  <c r="G21" i="39"/>
  <c r="F21" i="39"/>
  <c r="E21" i="39"/>
  <c r="D21" i="39"/>
  <c r="C21" i="39"/>
  <c r="A21" i="39"/>
  <c r="I20" i="39"/>
  <c r="H20" i="39"/>
  <c r="G20" i="39"/>
  <c r="F20" i="39"/>
  <c r="E20" i="39"/>
  <c r="D20" i="39"/>
  <c r="C20" i="39"/>
  <c r="A20" i="39"/>
  <c r="I19" i="39"/>
  <c r="H19" i="39"/>
  <c r="G19" i="39"/>
  <c r="F19" i="39"/>
  <c r="E19" i="39"/>
  <c r="D19" i="39"/>
  <c r="C19" i="39"/>
  <c r="A19" i="39"/>
  <c r="I18" i="39"/>
  <c r="H18" i="39"/>
  <c r="G18" i="39"/>
  <c r="F18" i="39"/>
  <c r="E18" i="39"/>
  <c r="D18" i="39"/>
  <c r="C18" i="39"/>
  <c r="A18" i="39"/>
  <c r="I17" i="39"/>
  <c r="H17" i="39"/>
  <c r="G17" i="39"/>
  <c r="F17" i="39"/>
  <c r="E17" i="39"/>
  <c r="D17" i="39"/>
  <c r="C17" i="39"/>
  <c r="A17" i="39"/>
  <c r="I15" i="39"/>
  <c r="H15" i="39"/>
  <c r="G15" i="39"/>
  <c r="F15" i="39"/>
  <c r="E15" i="39"/>
  <c r="D15" i="39"/>
  <c r="C15" i="39"/>
  <c r="B15" i="39"/>
  <c r="A15" i="39"/>
  <c r="I14" i="39"/>
  <c r="H14" i="39"/>
  <c r="G14" i="39"/>
  <c r="F14" i="39"/>
  <c r="E14" i="39"/>
  <c r="D14" i="39"/>
  <c r="C14" i="39"/>
  <c r="B14" i="39"/>
  <c r="A14" i="39"/>
  <c r="I13" i="39"/>
  <c r="H13" i="39"/>
  <c r="G13" i="39"/>
  <c r="F13" i="39"/>
  <c r="E13" i="39"/>
  <c r="D13" i="39"/>
  <c r="C13" i="39"/>
  <c r="B13" i="39"/>
  <c r="A13" i="39"/>
  <c r="I11" i="39"/>
  <c r="H11" i="39"/>
  <c r="G11" i="39"/>
  <c r="F11" i="39"/>
  <c r="E11" i="39"/>
  <c r="D11" i="39"/>
  <c r="C11" i="39"/>
  <c r="A11" i="39"/>
  <c r="I10" i="39"/>
  <c r="H10" i="39"/>
  <c r="G10" i="39"/>
  <c r="F10" i="39"/>
  <c r="E10" i="39"/>
  <c r="D10" i="39"/>
  <c r="C10" i="39"/>
  <c r="A10" i="39"/>
  <c r="I9" i="39"/>
  <c r="H9" i="39"/>
  <c r="G9" i="39"/>
  <c r="F9" i="39"/>
  <c r="E9" i="39"/>
  <c r="D9" i="39"/>
  <c r="C9" i="39"/>
  <c r="A9" i="39"/>
  <c r="I8" i="39"/>
  <c r="H8" i="39"/>
  <c r="G8" i="39"/>
  <c r="F8" i="39"/>
  <c r="E8" i="39"/>
  <c r="D8" i="39"/>
  <c r="C8" i="39"/>
  <c r="B8" i="39"/>
  <c r="A8" i="39"/>
  <c r="I7" i="39"/>
  <c r="H7" i="39"/>
  <c r="G7" i="39"/>
  <c r="F7" i="39"/>
  <c r="E7" i="39"/>
  <c r="D7" i="39"/>
  <c r="C7" i="39"/>
  <c r="A7" i="39"/>
  <c r="I6" i="39"/>
  <c r="H6" i="39"/>
  <c r="G6" i="39"/>
  <c r="F6" i="39"/>
  <c r="E6" i="39"/>
  <c r="D6" i="39"/>
  <c r="C6" i="39"/>
  <c r="A6" i="39"/>
  <c r="I5" i="39"/>
  <c r="H5" i="39"/>
  <c r="G5" i="39"/>
  <c r="F5" i="39"/>
  <c r="E5" i="39"/>
  <c r="D5" i="39"/>
  <c r="C5" i="39"/>
  <c r="A5" i="39"/>
  <c r="I4" i="39"/>
  <c r="H4" i="39"/>
  <c r="G4" i="39"/>
  <c r="F4" i="39"/>
  <c r="E4" i="39"/>
  <c r="D4" i="39"/>
  <c r="C4" i="39"/>
  <c r="A4" i="39"/>
  <c r="I3" i="39"/>
  <c r="H3" i="39"/>
  <c r="G3" i="39"/>
  <c r="F3" i="39"/>
  <c r="E3" i="39"/>
  <c r="D3" i="39"/>
  <c r="C3" i="39"/>
  <c r="A3" i="39"/>
  <c r="I1" i="39"/>
  <c r="G1" i="39"/>
  <c r="F1" i="39"/>
  <c r="E1" i="39"/>
  <c r="D1" i="39"/>
  <c r="C1" i="39"/>
  <c r="B1" i="39"/>
  <c r="I29" i="38"/>
  <c r="H29" i="38"/>
  <c r="G29" i="38"/>
  <c r="F29" i="38"/>
  <c r="E29" i="38"/>
  <c r="D29" i="38"/>
  <c r="C29" i="38"/>
  <c r="A29" i="38"/>
  <c r="I28" i="38"/>
  <c r="H28" i="38"/>
  <c r="G28" i="38"/>
  <c r="F28" i="38"/>
  <c r="E28" i="38"/>
  <c r="D28" i="38"/>
  <c r="C28" i="38"/>
  <c r="B28" i="38"/>
  <c r="A28" i="38"/>
  <c r="I26" i="38"/>
  <c r="H26" i="38"/>
  <c r="G26" i="38"/>
  <c r="F26" i="38"/>
  <c r="E26" i="38"/>
  <c r="D26" i="38"/>
  <c r="C26" i="38"/>
  <c r="A26" i="38"/>
  <c r="I25" i="38"/>
  <c r="H25" i="38"/>
  <c r="G25" i="38"/>
  <c r="F25" i="38"/>
  <c r="E25" i="38"/>
  <c r="D25" i="38"/>
  <c r="C25" i="38"/>
  <c r="A25" i="38"/>
  <c r="I24" i="38"/>
  <c r="H24" i="38"/>
  <c r="G24" i="38"/>
  <c r="F24" i="38"/>
  <c r="E24" i="38"/>
  <c r="D24" i="38"/>
  <c r="C24" i="38"/>
  <c r="A24" i="38"/>
  <c r="I23" i="38"/>
  <c r="H23" i="38"/>
  <c r="G23" i="38"/>
  <c r="F23" i="38"/>
  <c r="E23" i="38"/>
  <c r="D23" i="38"/>
  <c r="C23" i="38"/>
  <c r="B23" i="38"/>
  <c r="A23" i="38"/>
  <c r="I22" i="38"/>
  <c r="H22" i="38"/>
  <c r="G22" i="38"/>
  <c r="F22" i="38"/>
  <c r="E22" i="38"/>
  <c r="D22" i="38"/>
  <c r="C22" i="38"/>
  <c r="A22" i="38"/>
  <c r="I21" i="38"/>
  <c r="H21" i="38"/>
  <c r="G21" i="38"/>
  <c r="F21" i="38"/>
  <c r="E21" i="38"/>
  <c r="D21" i="38"/>
  <c r="C21" i="38"/>
  <c r="A21" i="38"/>
  <c r="I20" i="38"/>
  <c r="H20" i="38"/>
  <c r="G20" i="38"/>
  <c r="F20" i="38"/>
  <c r="E20" i="38"/>
  <c r="D20" i="38"/>
  <c r="C20" i="38"/>
  <c r="A20" i="38"/>
  <c r="I19" i="38"/>
  <c r="H19" i="38"/>
  <c r="G19" i="38"/>
  <c r="F19" i="38"/>
  <c r="E19" i="38"/>
  <c r="D19" i="38"/>
  <c r="C19" i="38"/>
  <c r="A19" i="38"/>
  <c r="I18" i="38"/>
  <c r="H18" i="38"/>
  <c r="G18" i="38"/>
  <c r="F18" i="38"/>
  <c r="E18" i="38"/>
  <c r="D18" i="38"/>
  <c r="C18" i="38"/>
  <c r="B18" i="38"/>
  <c r="A18" i="38"/>
  <c r="I17" i="38"/>
  <c r="H17" i="38"/>
  <c r="G17" i="38"/>
  <c r="F17" i="38"/>
  <c r="E17" i="38"/>
  <c r="D17" i="38"/>
  <c r="C17" i="38"/>
  <c r="A17" i="38"/>
  <c r="I15" i="38"/>
  <c r="H15" i="38"/>
  <c r="G15" i="38"/>
  <c r="F15" i="38"/>
  <c r="E15" i="38"/>
  <c r="D15" i="38"/>
  <c r="C15" i="38"/>
  <c r="A15" i="38"/>
  <c r="I13" i="38"/>
  <c r="H13" i="38"/>
  <c r="G13" i="38"/>
  <c r="F13" i="38"/>
  <c r="E13" i="38"/>
  <c r="D13" i="38"/>
  <c r="C13" i="38"/>
  <c r="A13" i="38"/>
  <c r="I12" i="38"/>
  <c r="H12" i="38"/>
  <c r="G12" i="38"/>
  <c r="F12" i="38"/>
  <c r="E12" i="38"/>
  <c r="D12" i="38"/>
  <c r="C12" i="38"/>
  <c r="A12" i="38"/>
  <c r="I11" i="38"/>
  <c r="H11" i="38"/>
  <c r="G11" i="38"/>
  <c r="F11" i="38"/>
  <c r="E11" i="38"/>
  <c r="D11" i="38"/>
  <c r="C11" i="38"/>
  <c r="A11" i="38"/>
  <c r="I10" i="38"/>
  <c r="H10" i="38"/>
  <c r="G10" i="38"/>
  <c r="F10" i="38"/>
  <c r="E10" i="38"/>
  <c r="D10" i="38"/>
  <c r="C10" i="38"/>
  <c r="A10" i="38"/>
  <c r="I9" i="38"/>
  <c r="H9" i="38"/>
  <c r="G9" i="38"/>
  <c r="F9" i="38"/>
  <c r="E9" i="38"/>
  <c r="D9" i="38"/>
  <c r="C9" i="38"/>
  <c r="A9" i="38"/>
  <c r="I8" i="38"/>
  <c r="H8" i="38"/>
  <c r="G8" i="38"/>
  <c r="F8" i="38"/>
  <c r="E8" i="38"/>
  <c r="D8" i="38"/>
  <c r="C8" i="38"/>
  <c r="A8" i="38"/>
  <c r="I7" i="38"/>
  <c r="H7" i="38"/>
  <c r="G7" i="38"/>
  <c r="F7" i="38"/>
  <c r="E7" i="38"/>
  <c r="D7" i="38"/>
  <c r="C7" i="38"/>
  <c r="A7" i="38"/>
  <c r="I6" i="38"/>
  <c r="H6" i="38"/>
  <c r="G6" i="38"/>
  <c r="F6" i="38"/>
  <c r="E6" i="38"/>
  <c r="D6" i="38"/>
  <c r="C6" i="38"/>
  <c r="A6" i="38"/>
  <c r="I5" i="38"/>
  <c r="H5" i="38"/>
  <c r="G5" i="38"/>
  <c r="F5" i="38"/>
  <c r="E5" i="38"/>
  <c r="D5" i="38"/>
  <c r="C5" i="38"/>
  <c r="A5" i="38"/>
  <c r="I4" i="38"/>
  <c r="H4" i="38"/>
  <c r="G4" i="38"/>
  <c r="F4" i="38"/>
  <c r="E4" i="38"/>
  <c r="D4" i="38"/>
  <c r="C4" i="38"/>
  <c r="A4" i="38"/>
  <c r="I3" i="38"/>
  <c r="H3" i="38"/>
  <c r="G3" i="38"/>
  <c r="F3" i="38"/>
  <c r="E3" i="38"/>
  <c r="D3" i="38"/>
  <c r="C3" i="38"/>
  <c r="A3" i="38"/>
  <c r="I1" i="38"/>
  <c r="G1" i="38"/>
  <c r="F1" i="38"/>
  <c r="E1" i="38"/>
  <c r="D1" i="38"/>
  <c r="C1" i="38"/>
  <c r="B1" i="38"/>
  <c r="I24" i="37"/>
  <c r="H24" i="37"/>
  <c r="G24" i="37"/>
  <c r="F24" i="37"/>
  <c r="E24" i="37"/>
  <c r="D24" i="37"/>
  <c r="C24" i="37"/>
  <c r="A24" i="37"/>
  <c r="I23" i="37"/>
  <c r="H23" i="37"/>
  <c r="G23" i="37"/>
  <c r="F23" i="37"/>
  <c r="E23" i="37"/>
  <c r="D23" i="37"/>
  <c r="C23" i="37"/>
  <c r="B23" i="37"/>
  <c r="A23" i="37"/>
  <c r="I22" i="37"/>
  <c r="H22" i="37"/>
  <c r="G22" i="37"/>
  <c r="F22" i="37"/>
  <c r="E22" i="37"/>
  <c r="D22" i="37"/>
  <c r="C22" i="37"/>
  <c r="B22" i="37"/>
  <c r="A22" i="37"/>
  <c r="I21" i="37"/>
  <c r="H21" i="37"/>
  <c r="G21" i="37"/>
  <c r="F21" i="37"/>
  <c r="E21" i="37"/>
  <c r="D21" i="37"/>
  <c r="C21" i="37"/>
  <c r="B21" i="37"/>
  <c r="A21" i="37"/>
  <c r="I20" i="37"/>
  <c r="H20" i="37"/>
  <c r="G20" i="37"/>
  <c r="F20" i="37"/>
  <c r="E20" i="37"/>
  <c r="D20" i="37"/>
  <c r="C20" i="37"/>
  <c r="B20" i="37"/>
  <c r="A20" i="37"/>
  <c r="I18" i="37"/>
  <c r="H18" i="37"/>
  <c r="G18" i="37"/>
  <c r="F18" i="37"/>
  <c r="E18" i="37"/>
  <c r="D18" i="37"/>
  <c r="C18" i="37"/>
  <c r="A18" i="37"/>
  <c r="I17" i="37"/>
  <c r="H17" i="37"/>
  <c r="G17" i="37"/>
  <c r="F17" i="37"/>
  <c r="E17" i="37"/>
  <c r="D17" i="37"/>
  <c r="C17" i="37"/>
  <c r="A17" i="37"/>
  <c r="I16" i="37"/>
  <c r="H16" i="37"/>
  <c r="G16" i="37"/>
  <c r="F16" i="37"/>
  <c r="E16" i="37"/>
  <c r="D16" i="37"/>
  <c r="C16" i="37"/>
  <c r="A16" i="37"/>
  <c r="I15" i="37"/>
  <c r="H15" i="37"/>
  <c r="G15" i="37"/>
  <c r="F15" i="37"/>
  <c r="E15" i="37"/>
  <c r="D15" i="37"/>
  <c r="C15" i="37"/>
  <c r="A15" i="37"/>
  <c r="I13" i="37"/>
  <c r="H13" i="37"/>
  <c r="G13" i="37"/>
  <c r="F13" i="37"/>
  <c r="E13" i="37"/>
  <c r="D13" i="37"/>
  <c r="C13" i="37"/>
  <c r="B13" i="37"/>
  <c r="A13" i="37"/>
  <c r="I12" i="37"/>
  <c r="H12" i="37"/>
  <c r="G12" i="37"/>
  <c r="F12" i="37"/>
  <c r="E12" i="37"/>
  <c r="D12" i="37"/>
  <c r="C12" i="37"/>
  <c r="A12" i="37"/>
  <c r="I11" i="37"/>
  <c r="H11" i="37"/>
  <c r="G11" i="37"/>
  <c r="F11" i="37"/>
  <c r="E11" i="37"/>
  <c r="D11" i="37"/>
  <c r="C11" i="37"/>
  <c r="B11" i="37"/>
  <c r="A11" i="37"/>
  <c r="I9" i="37"/>
  <c r="H9" i="37"/>
  <c r="G9" i="37"/>
  <c r="F9" i="37"/>
  <c r="E9" i="37"/>
  <c r="D9" i="37"/>
  <c r="C9" i="37"/>
  <c r="A9" i="37"/>
  <c r="I8" i="37"/>
  <c r="H8" i="37"/>
  <c r="G8" i="37"/>
  <c r="F8" i="37"/>
  <c r="E8" i="37"/>
  <c r="D8" i="37"/>
  <c r="C8" i="37"/>
  <c r="A8" i="37"/>
  <c r="I7" i="37"/>
  <c r="H7" i="37"/>
  <c r="G7" i="37"/>
  <c r="F7" i="37"/>
  <c r="E7" i="37"/>
  <c r="D7" i="37"/>
  <c r="C7" i="37"/>
  <c r="A7" i="37"/>
  <c r="I6" i="37"/>
  <c r="H6" i="37"/>
  <c r="G6" i="37"/>
  <c r="F6" i="37"/>
  <c r="E6" i="37"/>
  <c r="D6" i="37"/>
  <c r="C6" i="37"/>
  <c r="A6" i="37"/>
  <c r="I5" i="37"/>
  <c r="H5" i="37"/>
  <c r="G5" i="37"/>
  <c r="F5" i="37"/>
  <c r="E5" i="37"/>
  <c r="D5" i="37"/>
  <c r="C5" i="37"/>
  <c r="A5" i="37"/>
  <c r="I4" i="37"/>
  <c r="H4" i="37"/>
  <c r="G4" i="37"/>
  <c r="F4" i="37"/>
  <c r="E4" i="37"/>
  <c r="D4" i="37"/>
  <c r="C4" i="37"/>
  <c r="A4" i="37"/>
  <c r="I3" i="37"/>
  <c r="H3" i="37"/>
  <c r="G3" i="37"/>
  <c r="F3" i="37"/>
  <c r="E3" i="37"/>
  <c r="D3" i="37"/>
  <c r="C3" i="37"/>
  <c r="A3" i="37"/>
  <c r="I1" i="37"/>
  <c r="G1" i="37"/>
  <c r="F1" i="37"/>
  <c r="E1" i="37"/>
  <c r="D1" i="37"/>
  <c r="C1" i="37"/>
  <c r="B1" i="37"/>
  <c r="I13" i="36"/>
  <c r="H13" i="36"/>
  <c r="G13" i="36"/>
  <c r="F13" i="36"/>
  <c r="E13" i="36"/>
  <c r="D13" i="36"/>
  <c r="C13" i="36"/>
  <c r="A13" i="36"/>
  <c r="I12" i="36"/>
  <c r="H12" i="36"/>
  <c r="G12" i="36"/>
  <c r="F12" i="36"/>
  <c r="E12" i="36"/>
  <c r="D12" i="36"/>
  <c r="C12" i="36"/>
  <c r="A12" i="36"/>
  <c r="I11" i="36"/>
  <c r="H11" i="36"/>
  <c r="G11" i="36"/>
  <c r="F11" i="36"/>
  <c r="E11" i="36"/>
  <c r="D11" i="36"/>
  <c r="C11" i="36"/>
  <c r="A11" i="36"/>
  <c r="I10" i="36"/>
  <c r="H10" i="36"/>
  <c r="G10" i="36"/>
  <c r="F10" i="36"/>
  <c r="E10" i="36"/>
  <c r="D10" i="36"/>
  <c r="C10" i="36"/>
  <c r="A10" i="36"/>
  <c r="I8" i="36"/>
  <c r="H8" i="36"/>
  <c r="G8" i="36"/>
  <c r="F8" i="36"/>
  <c r="E8" i="36"/>
  <c r="D8" i="36"/>
  <c r="C8" i="36"/>
  <c r="A8" i="36"/>
  <c r="I7" i="36"/>
  <c r="H7" i="36"/>
  <c r="G7" i="36"/>
  <c r="F7" i="36"/>
  <c r="E7" i="36"/>
  <c r="D7" i="36"/>
  <c r="C7" i="36"/>
  <c r="A7" i="36"/>
  <c r="I5" i="36"/>
  <c r="H5" i="36"/>
  <c r="G5" i="36"/>
  <c r="F5" i="36"/>
  <c r="E5" i="36"/>
  <c r="D5" i="36"/>
  <c r="C5" i="36"/>
  <c r="A5" i="36"/>
  <c r="I4" i="36"/>
  <c r="H4" i="36"/>
  <c r="G4" i="36"/>
  <c r="F4" i="36"/>
  <c r="E4" i="36"/>
  <c r="D4" i="36"/>
  <c r="C4" i="36"/>
  <c r="A4" i="36"/>
  <c r="I3" i="36"/>
  <c r="H3" i="36"/>
  <c r="G3" i="36"/>
  <c r="F3" i="36"/>
  <c r="E3" i="36"/>
  <c r="D3" i="36"/>
  <c r="C3" i="36"/>
  <c r="A3" i="36"/>
  <c r="I1" i="36"/>
  <c r="G1" i="36"/>
  <c r="F1" i="36"/>
  <c r="E1" i="36"/>
  <c r="D1" i="36"/>
  <c r="C1" i="36"/>
  <c r="B1" i="36"/>
  <c r="I7" i="35"/>
  <c r="H7" i="35"/>
  <c r="G7" i="35"/>
  <c r="F7" i="35"/>
  <c r="E7" i="35"/>
  <c r="D7" i="35"/>
  <c r="C7" i="35"/>
  <c r="B7" i="35"/>
  <c r="A7" i="35"/>
  <c r="I5" i="35"/>
  <c r="H5" i="35"/>
  <c r="G5" i="35"/>
  <c r="F5" i="35"/>
  <c r="E5" i="35"/>
  <c r="D5" i="35"/>
  <c r="C5" i="35"/>
  <c r="A5" i="35"/>
  <c r="I4" i="35"/>
  <c r="H4" i="35"/>
  <c r="G4" i="35"/>
  <c r="F4" i="35"/>
  <c r="E4" i="35"/>
  <c r="D4" i="35"/>
  <c r="C4" i="35"/>
  <c r="A4" i="35"/>
  <c r="I3" i="35"/>
  <c r="H3" i="35"/>
  <c r="G3" i="35"/>
  <c r="F3" i="35"/>
  <c r="E3" i="35"/>
  <c r="D3" i="35"/>
  <c r="C3" i="35"/>
  <c r="A3" i="35"/>
  <c r="I1" i="35"/>
  <c r="G1" i="35"/>
  <c r="F1" i="35"/>
  <c r="E1" i="35"/>
  <c r="D1" i="35"/>
  <c r="C1" i="35"/>
  <c r="B1" i="35"/>
  <c r="I44" i="34"/>
  <c r="H44" i="34"/>
  <c r="G44" i="34"/>
  <c r="F44" i="34"/>
  <c r="E44" i="34"/>
  <c r="D44" i="34"/>
  <c r="C44" i="34"/>
  <c r="B44" i="34"/>
  <c r="A44" i="34"/>
  <c r="I43" i="34"/>
  <c r="H43" i="34"/>
  <c r="G43" i="34"/>
  <c r="F43" i="34"/>
  <c r="E43" i="34"/>
  <c r="D43" i="34"/>
  <c r="C43" i="34"/>
  <c r="B43" i="34"/>
  <c r="A43" i="34"/>
  <c r="I42" i="34"/>
  <c r="H42" i="34"/>
  <c r="G42" i="34"/>
  <c r="F42" i="34"/>
  <c r="E42" i="34"/>
  <c r="D42" i="34"/>
  <c r="C42" i="34"/>
  <c r="B42" i="34"/>
  <c r="A42" i="34"/>
  <c r="I41" i="34"/>
  <c r="H41" i="34"/>
  <c r="G41" i="34"/>
  <c r="F41" i="34"/>
  <c r="E41" i="34"/>
  <c r="D41" i="34"/>
  <c r="C41" i="34"/>
  <c r="B41" i="34"/>
  <c r="A41" i="34"/>
  <c r="I40" i="34"/>
  <c r="H40" i="34"/>
  <c r="G40" i="34"/>
  <c r="F40" i="34"/>
  <c r="E40" i="34"/>
  <c r="D40" i="34"/>
  <c r="C40" i="34"/>
  <c r="B40" i="34"/>
  <c r="A40" i="34"/>
  <c r="I39" i="34"/>
  <c r="H39" i="34"/>
  <c r="G39" i="34"/>
  <c r="F39" i="34"/>
  <c r="E39" i="34"/>
  <c r="D39" i="34"/>
  <c r="C39" i="34"/>
  <c r="B39" i="34"/>
  <c r="A39" i="34"/>
  <c r="I37" i="34"/>
  <c r="H37" i="34"/>
  <c r="G37" i="34"/>
  <c r="F37" i="34"/>
  <c r="E37" i="34"/>
  <c r="D37" i="34"/>
  <c r="C37" i="34"/>
  <c r="A37" i="34"/>
  <c r="I36" i="34"/>
  <c r="H36" i="34"/>
  <c r="G36" i="34"/>
  <c r="F36" i="34"/>
  <c r="E36" i="34"/>
  <c r="D36" i="34"/>
  <c r="C36" i="34"/>
  <c r="A36" i="34"/>
  <c r="I35" i="34"/>
  <c r="H35" i="34"/>
  <c r="G35" i="34"/>
  <c r="F35" i="34"/>
  <c r="E35" i="34"/>
  <c r="D35" i="34"/>
  <c r="C35" i="34"/>
  <c r="A35" i="34"/>
  <c r="I34" i="34"/>
  <c r="H34" i="34"/>
  <c r="G34" i="34"/>
  <c r="F34" i="34"/>
  <c r="E34" i="34"/>
  <c r="D34" i="34"/>
  <c r="C34" i="34"/>
  <c r="A34" i="34"/>
  <c r="I33" i="34"/>
  <c r="H33" i="34"/>
  <c r="G33" i="34"/>
  <c r="F33" i="34"/>
  <c r="E33" i="34"/>
  <c r="D33" i="34"/>
  <c r="C33" i="34"/>
  <c r="A33" i="34"/>
  <c r="I32" i="34"/>
  <c r="H32" i="34"/>
  <c r="G32" i="34"/>
  <c r="F32" i="34"/>
  <c r="E32" i="34"/>
  <c r="D32" i="34"/>
  <c r="C32" i="34"/>
  <c r="B32" i="34"/>
  <c r="A32" i="34"/>
  <c r="I31" i="34"/>
  <c r="H31" i="34"/>
  <c r="G31" i="34"/>
  <c r="F31" i="34"/>
  <c r="E31" i="34"/>
  <c r="D31" i="34"/>
  <c r="C31" i="34"/>
  <c r="B31" i="34"/>
  <c r="A31" i="34"/>
  <c r="I30" i="34"/>
  <c r="H30" i="34"/>
  <c r="G30" i="34"/>
  <c r="F30" i="34"/>
  <c r="E30" i="34"/>
  <c r="D30" i="34"/>
  <c r="C30" i="34"/>
  <c r="A30" i="34"/>
  <c r="I29" i="34"/>
  <c r="H29" i="34"/>
  <c r="G29" i="34"/>
  <c r="F29" i="34"/>
  <c r="E29" i="34"/>
  <c r="D29" i="34"/>
  <c r="C29" i="34"/>
  <c r="A29" i="34"/>
  <c r="I26" i="34"/>
  <c r="H26" i="34"/>
  <c r="G26" i="34"/>
  <c r="F26" i="34"/>
  <c r="E26" i="34"/>
  <c r="D26" i="34"/>
  <c r="C26" i="34"/>
  <c r="B26" i="34"/>
  <c r="A26" i="34"/>
  <c r="I25" i="34"/>
  <c r="H25" i="34"/>
  <c r="G25" i="34"/>
  <c r="F25" i="34"/>
  <c r="E25" i="34"/>
  <c r="D25" i="34"/>
  <c r="C25" i="34"/>
  <c r="B25" i="34"/>
  <c r="A25" i="34"/>
  <c r="I23" i="34"/>
  <c r="H23" i="34"/>
  <c r="G23" i="34"/>
  <c r="F23" i="34"/>
  <c r="E23" i="34"/>
  <c r="D23" i="34"/>
  <c r="C23" i="34"/>
  <c r="A23" i="34"/>
  <c r="I22" i="34"/>
  <c r="H22" i="34"/>
  <c r="G22" i="34"/>
  <c r="F22" i="34"/>
  <c r="E22" i="34"/>
  <c r="D22" i="34"/>
  <c r="C22" i="34"/>
  <c r="A22" i="34"/>
  <c r="I21" i="34"/>
  <c r="H21" i="34"/>
  <c r="G21" i="34"/>
  <c r="F21" i="34"/>
  <c r="E21" i="34"/>
  <c r="D21" i="34"/>
  <c r="C21" i="34"/>
  <c r="B21" i="34"/>
  <c r="A21" i="34"/>
  <c r="I20" i="34"/>
  <c r="H20" i="34"/>
  <c r="G20" i="34"/>
  <c r="F20" i="34"/>
  <c r="E20" i="34"/>
  <c r="D20" i="34"/>
  <c r="C20" i="34"/>
  <c r="A20" i="34"/>
  <c r="I19" i="34"/>
  <c r="H19" i="34"/>
  <c r="G19" i="34"/>
  <c r="F19" i="34"/>
  <c r="E19" i="34"/>
  <c r="D19" i="34"/>
  <c r="C19" i="34"/>
  <c r="A19" i="34"/>
  <c r="I18" i="34"/>
  <c r="H18" i="34"/>
  <c r="G18" i="34"/>
  <c r="F18" i="34"/>
  <c r="E18" i="34"/>
  <c r="D18" i="34"/>
  <c r="C18" i="34"/>
  <c r="A18" i="34"/>
  <c r="I17" i="34"/>
  <c r="H17" i="34"/>
  <c r="G17" i="34"/>
  <c r="F17" i="34"/>
  <c r="E17" i="34"/>
  <c r="D17" i="34"/>
  <c r="C17" i="34"/>
  <c r="A17" i="34"/>
  <c r="I16" i="34"/>
  <c r="H16" i="34"/>
  <c r="G16" i="34"/>
  <c r="F16" i="34"/>
  <c r="E16" i="34"/>
  <c r="D16" i="34"/>
  <c r="C16" i="34"/>
  <c r="A16" i="34"/>
  <c r="I15" i="34"/>
  <c r="H15" i="34"/>
  <c r="G15" i="34"/>
  <c r="F15" i="34"/>
  <c r="E15" i="34"/>
  <c r="D15" i="34"/>
  <c r="C15" i="34"/>
  <c r="A15" i="34"/>
  <c r="I14" i="34"/>
  <c r="H14" i="34"/>
  <c r="G14" i="34"/>
  <c r="F14" i="34"/>
  <c r="E14" i="34"/>
  <c r="D14" i="34"/>
  <c r="C14" i="34"/>
  <c r="B14" i="34"/>
  <c r="A14" i="34"/>
  <c r="I13" i="34"/>
  <c r="H13" i="34"/>
  <c r="G13" i="34"/>
  <c r="F13" i="34"/>
  <c r="E13" i="34"/>
  <c r="D13" i="34"/>
  <c r="C13" i="34"/>
  <c r="A13" i="34"/>
  <c r="I12" i="34"/>
  <c r="H12" i="34"/>
  <c r="G12" i="34"/>
  <c r="F12" i="34"/>
  <c r="E12" i="34"/>
  <c r="D12" i="34"/>
  <c r="C12" i="34"/>
  <c r="A12" i="34"/>
  <c r="I11" i="34"/>
  <c r="H11" i="34"/>
  <c r="G11" i="34"/>
  <c r="F11" i="34"/>
  <c r="E11" i="34"/>
  <c r="D11" i="34"/>
  <c r="C11" i="34"/>
  <c r="A11" i="34"/>
  <c r="I10" i="34"/>
  <c r="H10" i="34"/>
  <c r="G10" i="34"/>
  <c r="F10" i="34"/>
  <c r="E10" i="34"/>
  <c r="D10" i="34"/>
  <c r="C10" i="34"/>
  <c r="A10" i="34"/>
  <c r="I9" i="34"/>
  <c r="H9" i="34"/>
  <c r="G9" i="34"/>
  <c r="F9" i="34"/>
  <c r="E9" i="34"/>
  <c r="D9" i="34"/>
  <c r="C9" i="34"/>
  <c r="A9" i="34"/>
  <c r="I8" i="34"/>
  <c r="H8" i="34"/>
  <c r="G8" i="34"/>
  <c r="F8" i="34"/>
  <c r="E8" i="34"/>
  <c r="D8" i="34"/>
  <c r="C8" i="34"/>
  <c r="A8" i="34"/>
  <c r="I7" i="34"/>
  <c r="H7" i="34"/>
  <c r="G7" i="34"/>
  <c r="F7" i="34"/>
  <c r="E7" i="34"/>
  <c r="D7" i="34"/>
  <c r="C7" i="34"/>
  <c r="A7" i="34"/>
  <c r="I6" i="34"/>
  <c r="H6" i="34"/>
  <c r="G6" i="34"/>
  <c r="F6" i="34"/>
  <c r="E6" i="34"/>
  <c r="D6" i="34"/>
  <c r="C6" i="34"/>
  <c r="A6" i="34"/>
  <c r="I5" i="34"/>
  <c r="H5" i="34"/>
  <c r="G5" i="34"/>
  <c r="F5" i="34"/>
  <c r="E5" i="34"/>
  <c r="D5" i="34"/>
  <c r="C5" i="34"/>
  <c r="A5" i="34"/>
  <c r="I4" i="34"/>
  <c r="H4" i="34"/>
  <c r="G4" i="34"/>
  <c r="F4" i="34"/>
  <c r="E4" i="34"/>
  <c r="D4" i="34"/>
  <c r="C4" i="34"/>
  <c r="A4" i="34"/>
  <c r="I3" i="34"/>
  <c r="H3" i="34"/>
  <c r="G3" i="34"/>
  <c r="F3" i="34"/>
  <c r="E3" i="34"/>
  <c r="D3" i="34"/>
  <c r="C3" i="34"/>
  <c r="A3" i="34"/>
  <c r="I1" i="34"/>
  <c r="G1" i="34"/>
  <c r="F1" i="34"/>
  <c r="E1" i="34"/>
  <c r="D1" i="34"/>
  <c r="C1" i="34"/>
  <c r="B1" i="34"/>
  <c r="I14" i="33"/>
  <c r="H14" i="33"/>
  <c r="G14" i="33"/>
  <c r="F14" i="33"/>
  <c r="E14" i="33"/>
  <c r="D14" i="33"/>
  <c r="C14" i="33"/>
  <c r="B14" i="33"/>
  <c r="A14" i="33"/>
  <c r="I13" i="33"/>
  <c r="H13" i="33"/>
  <c r="G13" i="33"/>
  <c r="F13" i="33"/>
  <c r="E13" i="33"/>
  <c r="D13" i="33"/>
  <c r="C13" i="33"/>
  <c r="A13" i="33"/>
  <c r="I12" i="33"/>
  <c r="H12" i="33"/>
  <c r="G12" i="33"/>
  <c r="F12" i="33"/>
  <c r="E12" i="33"/>
  <c r="D12" i="33"/>
  <c r="C12" i="33"/>
  <c r="A12" i="33"/>
  <c r="I11" i="33"/>
  <c r="H11" i="33"/>
  <c r="G11" i="33"/>
  <c r="F11" i="33"/>
  <c r="E11" i="33"/>
  <c r="D11" i="33"/>
  <c r="C11" i="33"/>
  <c r="A11" i="33"/>
  <c r="I10" i="33"/>
  <c r="H10" i="33"/>
  <c r="G10" i="33"/>
  <c r="F10" i="33"/>
  <c r="E10" i="33"/>
  <c r="D10" i="33"/>
  <c r="C10" i="33"/>
  <c r="A10" i="33"/>
  <c r="I8" i="33"/>
  <c r="H8" i="33"/>
  <c r="G8" i="33"/>
  <c r="F8" i="33"/>
  <c r="E8" i="33"/>
  <c r="D8" i="33"/>
  <c r="C8" i="33"/>
  <c r="B8" i="33"/>
  <c r="A8" i="33"/>
  <c r="I7" i="33"/>
  <c r="H7" i="33"/>
  <c r="G7" i="33"/>
  <c r="F7" i="33"/>
  <c r="E7" i="33"/>
  <c r="D7" i="33"/>
  <c r="C7" i="33"/>
  <c r="A7" i="33"/>
  <c r="I5" i="33"/>
  <c r="H5" i="33"/>
  <c r="G5" i="33"/>
  <c r="F5" i="33"/>
  <c r="E5" i="33"/>
  <c r="D5" i="33"/>
  <c r="C5" i="33"/>
  <c r="A5" i="33"/>
  <c r="I4" i="33"/>
  <c r="H4" i="33"/>
  <c r="G4" i="33"/>
  <c r="F4" i="33"/>
  <c r="E4" i="33"/>
  <c r="D4" i="33"/>
  <c r="C4" i="33"/>
  <c r="A4" i="33"/>
  <c r="I3" i="33"/>
  <c r="H3" i="33"/>
  <c r="G3" i="33"/>
  <c r="F3" i="33"/>
  <c r="E3" i="33"/>
  <c r="D3" i="33"/>
  <c r="C3" i="33"/>
  <c r="A3" i="33"/>
  <c r="I1" i="33"/>
  <c r="G1" i="33"/>
  <c r="F1" i="33"/>
  <c r="E1" i="33"/>
  <c r="D1" i="33"/>
  <c r="C1" i="33"/>
  <c r="B1" i="33"/>
  <c r="I22" i="32"/>
  <c r="H22" i="32"/>
  <c r="G22" i="32"/>
  <c r="F22" i="32"/>
  <c r="E22" i="32"/>
  <c r="D22" i="32"/>
  <c r="C22" i="32"/>
  <c r="B22" i="32"/>
  <c r="A22" i="32"/>
  <c r="I21" i="32"/>
  <c r="H21" i="32"/>
  <c r="G21" i="32"/>
  <c r="F21" i="32"/>
  <c r="E21" i="32"/>
  <c r="D21" i="32"/>
  <c r="C21" i="32"/>
  <c r="B21" i="32"/>
  <c r="A21" i="32"/>
  <c r="I20" i="32"/>
  <c r="H20" i="32"/>
  <c r="G20" i="32"/>
  <c r="F20" i="32"/>
  <c r="E20" i="32"/>
  <c r="D20" i="32"/>
  <c r="C20" i="32"/>
  <c r="A20" i="32"/>
  <c r="I19" i="32"/>
  <c r="H19" i="32"/>
  <c r="G19" i="32"/>
  <c r="F19" i="32"/>
  <c r="E19" i="32"/>
  <c r="D19" i="32"/>
  <c r="C19" i="32"/>
  <c r="B19" i="32"/>
  <c r="A19" i="32"/>
  <c r="I18" i="32"/>
  <c r="H18" i="32"/>
  <c r="G18" i="32"/>
  <c r="F18" i="32"/>
  <c r="E18" i="32"/>
  <c r="D18" i="32"/>
  <c r="C18" i="32"/>
  <c r="A18" i="32"/>
  <c r="I17" i="32"/>
  <c r="H17" i="32"/>
  <c r="G17" i="32"/>
  <c r="F17" i="32"/>
  <c r="E17" i="32"/>
  <c r="D17" i="32"/>
  <c r="C17" i="32"/>
  <c r="A17" i="32"/>
  <c r="I16" i="32"/>
  <c r="H16" i="32"/>
  <c r="G16" i="32"/>
  <c r="F16" i="32"/>
  <c r="E16" i="32"/>
  <c r="D16" i="32"/>
  <c r="C16" i="32"/>
  <c r="A16" i="32"/>
  <c r="I15" i="32"/>
  <c r="H15" i="32"/>
  <c r="G15" i="32"/>
  <c r="F15" i="32"/>
  <c r="E15" i="32"/>
  <c r="D15" i="32"/>
  <c r="C15" i="32"/>
  <c r="A15" i="32"/>
  <c r="I14" i="32"/>
  <c r="H14" i="32"/>
  <c r="G14" i="32"/>
  <c r="F14" i="32"/>
  <c r="E14" i="32"/>
  <c r="D14" i="32"/>
  <c r="C14" i="32"/>
  <c r="A14" i="32"/>
  <c r="I12" i="32"/>
  <c r="H12" i="32"/>
  <c r="G12" i="32"/>
  <c r="F12" i="32"/>
  <c r="E12" i="32"/>
  <c r="D12" i="32"/>
  <c r="C12" i="32"/>
  <c r="B12" i="32"/>
  <c r="A12" i="32"/>
  <c r="I11" i="32"/>
  <c r="H11" i="32"/>
  <c r="G11" i="32"/>
  <c r="F11" i="32"/>
  <c r="E11" i="32"/>
  <c r="D11" i="32"/>
  <c r="C11" i="32"/>
  <c r="B11" i="32"/>
  <c r="A11" i="32"/>
  <c r="I9" i="32"/>
  <c r="H9" i="32"/>
  <c r="G9" i="32"/>
  <c r="F9" i="32"/>
  <c r="E9" i="32"/>
  <c r="D9" i="32"/>
  <c r="C9" i="32"/>
  <c r="A9" i="32"/>
  <c r="I8" i="32"/>
  <c r="H8" i="32"/>
  <c r="G8" i="32"/>
  <c r="F8" i="32"/>
  <c r="E8" i="32"/>
  <c r="D8" i="32"/>
  <c r="C8" i="32"/>
  <c r="B8" i="32"/>
  <c r="A8" i="32"/>
  <c r="I7" i="32"/>
  <c r="H7" i="32"/>
  <c r="G7" i="32"/>
  <c r="F7" i="32"/>
  <c r="E7" i="32"/>
  <c r="D7" i="32"/>
  <c r="C7" i="32"/>
  <c r="A7" i="32"/>
  <c r="I6" i="32"/>
  <c r="H6" i="32"/>
  <c r="G6" i="32"/>
  <c r="F6" i="32"/>
  <c r="E6" i="32"/>
  <c r="D6" i="32"/>
  <c r="C6" i="32"/>
  <c r="A6" i="32"/>
  <c r="I5" i="32"/>
  <c r="H5" i="32"/>
  <c r="G5" i="32"/>
  <c r="F5" i="32"/>
  <c r="E5" i="32"/>
  <c r="D5" i="32"/>
  <c r="C5" i="32"/>
  <c r="A5" i="32"/>
  <c r="I4" i="32"/>
  <c r="H4" i="32"/>
  <c r="G4" i="32"/>
  <c r="F4" i="32"/>
  <c r="E4" i="32"/>
  <c r="D4" i="32"/>
  <c r="C4" i="32"/>
  <c r="A4" i="32"/>
  <c r="I3" i="32"/>
  <c r="H3" i="32"/>
  <c r="G3" i="32"/>
  <c r="F3" i="32"/>
  <c r="E3" i="32"/>
  <c r="D3" i="32"/>
  <c r="C3" i="32"/>
  <c r="A3" i="32"/>
  <c r="I1" i="32"/>
  <c r="G1" i="32"/>
  <c r="F1" i="32"/>
  <c r="E1" i="32"/>
  <c r="D1" i="32"/>
  <c r="C1" i="32"/>
  <c r="B1" i="32"/>
  <c r="I15" i="31"/>
  <c r="H15" i="31"/>
  <c r="G15" i="31"/>
  <c r="F15" i="31"/>
  <c r="E15" i="31"/>
  <c r="D15" i="31"/>
  <c r="C15" i="31"/>
  <c r="B15" i="31"/>
  <c r="A15" i="31"/>
  <c r="I14" i="31"/>
  <c r="H14" i="31"/>
  <c r="G14" i="31"/>
  <c r="F14" i="31"/>
  <c r="E14" i="31"/>
  <c r="D14" i="31"/>
  <c r="C14" i="31"/>
  <c r="A14" i="31"/>
  <c r="I13" i="31"/>
  <c r="H13" i="31"/>
  <c r="G13" i="31"/>
  <c r="F13" i="31"/>
  <c r="E13" i="31"/>
  <c r="D13" i="31"/>
  <c r="C13" i="31"/>
  <c r="A13" i="31"/>
  <c r="I12" i="31"/>
  <c r="H12" i="31"/>
  <c r="G12" i="31"/>
  <c r="F12" i="31"/>
  <c r="E12" i="31"/>
  <c r="D12" i="31"/>
  <c r="C12" i="31"/>
  <c r="B12" i="31"/>
  <c r="A12" i="31"/>
  <c r="I11" i="31"/>
  <c r="H11" i="31"/>
  <c r="G11" i="31"/>
  <c r="F11" i="31"/>
  <c r="E11" i="31"/>
  <c r="D11" i="31"/>
  <c r="C11" i="31"/>
  <c r="A11" i="31"/>
  <c r="I9" i="31"/>
  <c r="H9" i="31"/>
  <c r="G9" i="31"/>
  <c r="F9" i="31"/>
  <c r="E9" i="31"/>
  <c r="D9" i="31"/>
  <c r="C9" i="31"/>
  <c r="B9" i="31"/>
  <c r="A9" i="31"/>
  <c r="I7" i="31"/>
  <c r="H7" i="31"/>
  <c r="G7" i="31"/>
  <c r="F7" i="31"/>
  <c r="E7" i="31"/>
  <c r="D7" i="31"/>
  <c r="C7" i="31"/>
  <c r="A7" i="31"/>
  <c r="I6" i="31"/>
  <c r="H6" i="31"/>
  <c r="G6" i="31"/>
  <c r="F6" i="31"/>
  <c r="E6" i="31"/>
  <c r="D6" i="31"/>
  <c r="C6" i="31"/>
  <c r="A6" i="31"/>
  <c r="I5" i="31"/>
  <c r="H5" i="31"/>
  <c r="G5" i="31"/>
  <c r="F5" i="31"/>
  <c r="E5" i="31"/>
  <c r="D5" i="31"/>
  <c r="C5" i="31"/>
  <c r="A5" i="31"/>
  <c r="I4" i="31"/>
  <c r="H4" i="31"/>
  <c r="G4" i="31"/>
  <c r="F4" i="31"/>
  <c r="E4" i="31"/>
  <c r="D4" i="31"/>
  <c r="C4" i="31"/>
  <c r="A4" i="31"/>
  <c r="I3" i="31"/>
  <c r="H3" i="31"/>
  <c r="G3" i="31"/>
  <c r="F3" i="31"/>
  <c r="E3" i="31"/>
  <c r="D3" i="31"/>
  <c r="C3" i="31"/>
  <c r="A3" i="31"/>
  <c r="I1" i="31"/>
  <c r="G1" i="31"/>
  <c r="F1" i="31"/>
  <c r="E1" i="31"/>
  <c r="D1" i="31"/>
  <c r="C1" i="31"/>
  <c r="B1" i="31"/>
  <c r="I9" i="30"/>
  <c r="H9" i="30"/>
  <c r="G9" i="30"/>
  <c r="F9" i="30"/>
  <c r="E9" i="30"/>
  <c r="D9" i="30"/>
  <c r="C9" i="30"/>
  <c r="B9" i="30"/>
  <c r="A9" i="30"/>
  <c r="I8" i="30"/>
  <c r="H8" i="30"/>
  <c r="G8" i="30"/>
  <c r="F8" i="30"/>
  <c r="E8" i="30"/>
  <c r="D8" i="30"/>
  <c r="C8" i="30"/>
  <c r="A8" i="30"/>
  <c r="I6" i="30"/>
  <c r="H6" i="30"/>
  <c r="G6" i="30"/>
  <c r="F6" i="30"/>
  <c r="E6" i="30"/>
  <c r="D6" i="30"/>
  <c r="C6" i="30"/>
  <c r="B6" i="30"/>
  <c r="A6" i="30"/>
  <c r="I4" i="30"/>
  <c r="H4" i="30"/>
  <c r="G4" i="30"/>
  <c r="F4" i="30"/>
  <c r="E4" i="30"/>
  <c r="D4" i="30"/>
  <c r="C4" i="30"/>
  <c r="A4" i="30"/>
  <c r="I3" i="30"/>
  <c r="H3" i="30"/>
  <c r="G3" i="30"/>
  <c r="F3" i="30"/>
  <c r="E3" i="30"/>
  <c r="D3" i="30"/>
  <c r="C3" i="30"/>
  <c r="A3" i="30"/>
  <c r="I1" i="30"/>
  <c r="G1" i="30"/>
  <c r="F1" i="30"/>
  <c r="E1" i="30"/>
  <c r="D1" i="30"/>
  <c r="C1" i="30"/>
  <c r="B1" i="30"/>
  <c r="I28" i="29"/>
  <c r="H28" i="29"/>
  <c r="G28" i="29"/>
  <c r="F28" i="29"/>
  <c r="E28" i="29"/>
  <c r="D28" i="29"/>
  <c r="C28" i="29"/>
  <c r="B28" i="29"/>
  <c r="A28" i="29"/>
  <c r="I27" i="29"/>
  <c r="H27" i="29"/>
  <c r="G27" i="29"/>
  <c r="F27" i="29"/>
  <c r="E27" i="29"/>
  <c r="D27" i="29"/>
  <c r="C27" i="29"/>
  <c r="A27" i="29"/>
  <c r="I26" i="29"/>
  <c r="H26" i="29"/>
  <c r="G26" i="29"/>
  <c r="F26" i="29"/>
  <c r="E26" i="29"/>
  <c r="D26" i="29"/>
  <c r="C26" i="29"/>
  <c r="B26" i="29"/>
  <c r="A26" i="29"/>
  <c r="I25" i="29"/>
  <c r="H25" i="29"/>
  <c r="G25" i="29"/>
  <c r="F25" i="29"/>
  <c r="E25" i="29"/>
  <c r="D25" i="29"/>
  <c r="C25" i="29"/>
  <c r="B25" i="29"/>
  <c r="A25" i="29"/>
  <c r="I24" i="29"/>
  <c r="H24" i="29"/>
  <c r="G24" i="29"/>
  <c r="F24" i="29"/>
  <c r="E24" i="29"/>
  <c r="D24" i="29"/>
  <c r="C24" i="29"/>
  <c r="B24" i="29"/>
  <c r="A24" i="29"/>
  <c r="I23" i="29"/>
  <c r="H23" i="29"/>
  <c r="G23" i="29"/>
  <c r="F23" i="29"/>
  <c r="E23" i="29"/>
  <c r="D23" i="29"/>
  <c r="C23" i="29"/>
  <c r="B23" i="29"/>
  <c r="A23" i="29"/>
  <c r="I22" i="29"/>
  <c r="H22" i="29"/>
  <c r="G22" i="29"/>
  <c r="F22" i="29"/>
  <c r="E22" i="29"/>
  <c r="D22" i="29"/>
  <c r="C22" i="29"/>
  <c r="B22" i="29"/>
  <c r="A22" i="29"/>
  <c r="I21" i="29"/>
  <c r="H21" i="29"/>
  <c r="G21" i="29"/>
  <c r="F21" i="29"/>
  <c r="E21" i="29"/>
  <c r="D21" i="29"/>
  <c r="C21" i="29"/>
  <c r="B21" i="29"/>
  <c r="A21" i="29"/>
  <c r="I20" i="29"/>
  <c r="H20" i="29"/>
  <c r="G20" i="29"/>
  <c r="F20" i="29"/>
  <c r="E20" i="29"/>
  <c r="D20" i="29"/>
  <c r="C20" i="29"/>
  <c r="B20" i="29"/>
  <c r="A20" i="29"/>
  <c r="I18" i="29"/>
  <c r="H18" i="29"/>
  <c r="G18" i="29"/>
  <c r="F18" i="29"/>
  <c r="E18" i="29"/>
  <c r="D18" i="29"/>
  <c r="C18" i="29"/>
  <c r="A18" i="29"/>
  <c r="I17" i="29"/>
  <c r="H17" i="29"/>
  <c r="G17" i="29"/>
  <c r="F17" i="29"/>
  <c r="E17" i="29"/>
  <c r="D17" i="29"/>
  <c r="C17" i="29"/>
  <c r="A17" i="29"/>
  <c r="I16" i="29"/>
  <c r="H16" i="29"/>
  <c r="G16" i="29"/>
  <c r="F16" i="29"/>
  <c r="E16" i="29"/>
  <c r="D16" i="29"/>
  <c r="C16" i="29"/>
  <c r="A16" i="29"/>
  <c r="I15" i="29"/>
  <c r="H15" i="29"/>
  <c r="G15" i="29"/>
  <c r="F15" i="29"/>
  <c r="E15" i="29"/>
  <c r="D15" i="29"/>
  <c r="C15" i="29"/>
  <c r="A15" i="29"/>
  <c r="I14" i="29"/>
  <c r="H14" i="29"/>
  <c r="G14" i="29"/>
  <c r="F14" i="29"/>
  <c r="E14" i="29"/>
  <c r="D14" i="29"/>
  <c r="C14" i="29"/>
  <c r="A14" i="29"/>
  <c r="I13" i="29"/>
  <c r="H13" i="29"/>
  <c r="G13" i="29"/>
  <c r="F13" i="29"/>
  <c r="E13" i="29"/>
  <c r="D13" i="29"/>
  <c r="C13" i="29"/>
  <c r="B13" i="29"/>
  <c r="A13" i="29"/>
  <c r="I12" i="29"/>
  <c r="H12" i="29"/>
  <c r="G12" i="29"/>
  <c r="F12" i="29"/>
  <c r="E12" i="29"/>
  <c r="D12" i="29"/>
  <c r="C12" i="29"/>
  <c r="A12" i="29"/>
  <c r="I9" i="29"/>
  <c r="H9" i="29"/>
  <c r="G9" i="29"/>
  <c r="F9" i="29"/>
  <c r="E9" i="29"/>
  <c r="D9" i="29"/>
  <c r="C9" i="29"/>
  <c r="A9" i="29"/>
  <c r="I7" i="29"/>
  <c r="H7" i="29"/>
  <c r="G7" i="29"/>
  <c r="F7" i="29"/>
  <c r="E7" i="29"/>
  <c r="D7" i="29"/>
  <c r="C7" i="29"/>
  <c r="A7" i="29"/>
  <c r="I6" i="29"/>
  <c r="H6" i="29"/>
  <c r="G6" i="29"/>
  <c r="F6" i="29"/>
  <c r="E6" i="29"/>
  <c r="D6" i="29"/>
  <c r="C6" i="29"/>
  <c r="A6" i="29"/>
  <c r="I5" i="29"/>
  <c r="H5" i="29"/>
  <c r="G5" i="29"/>
  <c r="F5" i="29"/>
  <c r="E5" i="29"/>
  <c r="D5" i="29"/>
  <c r="C5" i="29"/>
  <c r="A5" i="29"/>
  <c r="I4" i="29"/>
  <c r="H4" i="29"/>
  <c r="G4" i="29"/>
  <c r="F4" i="29"/>
  <c r="E4" i="29"/>
  <c r="D4" i="29"/>
  <c r="C4" i="29"/>
  <c r="A4" i="29"/>
  <c r="I3" i="29"/>
  <c r="H3" i="29"/>
  <c r="G3" i="29"/>
  <c r="F3" i="29"/>
  <c r="E3" i="29"/>
  <c r="D3" i="29"/>
  <c r="C3" i="29"/>
  <c r="A3" i="29"/>
  <c r="I1" i="29"/>
  <c r="G1" i="29"/>
  <c r="F1" i="29"/>
  <c r="E1" i="29"/>
  <c r="D1" i="29"/>
  <c r="C1" i="29"/>
  <c r="B1" i="29"/>
  <c r="I22" i="28"/>
  <c r="H22" i="28"/>
  <c r="G22" i="28"/>
  <c r="F22" i="28"/>
  <c r="E22" i="28"/>
  <c r="D22" i="28"/>
  <c r="C22" i="28"/>
  <c r="B22" i="28"/>
  <c r="A22" i="28"/>
  <c r="I21" i="28"/>
  <c r="H21" i="28"/>
  <c r="G21" i="28"/>
  <c r="F21" i="28"/>
  <c r="E21" i="28"/>
  <c r="D21" i="28"/>
  <c r="C21" i="28"/>
  <c r="B21" i="28"/>
  <c r="A21" i="28"/>
  <c r="I20" i="28"/>
  <c r="H20" i="28"/>
  <c r="G20" i="28"/>
  <c r="F20" i="28"/>
  <c r="E20" i="28"/>
  <c r="D20" i="28"/>
  <c r="C20" i="28"/>
  <c r="B20" i="28"/>
  <c r="A20" i="28"/>
  <c r="I19" i="28"/>
  <c r="H19" i="28"/>
  <c r="G19" i="28"/>
  <c r="F19" i="28"/>
  <c r="E19" i="28"/>
  <c r="D19" i="28"/>
  <c r="C19" i="28"/>
  <c r="B19" i="28"/>
  <c r="A19" i="28"/>
  <c r="I18" i="28"/>
  <c r="H18" i="28"/>
  <c r="G18" i="28"/>
  <c r="F18" i="28"/>
  <c r="E18" i="28"/>
  <c r="D18" i="28"/>
  <c r="C18" i="28"/>
  <c r="B18" i="28"/>
  <c r="A18" i="28"/>
  <c r="I17" i="28"/>
  <c r="H17" i="28"/>
  <c r="G17" i="28"/>
  <c r="F17" i="28"/>
  <c r="E17" i="28"/>
  <c r="D17" i="28"/>
  <c r="C17" i="28"/>
  <c r="B17" i="28"/>
  <c r="A17" i="28"/>
  <c r="I16" i="28"/>
  <c r="H16" i="28"/>
  <c r="G16" i="28"/>
  <c r="F16" i="28"/>
  <c r="E16" i="28"/>
  <c r="D16" i="28"/>
  <c r="C16" i="28"/>
  <c r="A16" i="28"/>
  <c r="I15" i="28"/>
  <c r="H15" i="28"/>
  <c r="G15" i="28"/>
  <c r="F15" i="28"/>
  <c r="E15" i="28"/>
  <c r="D15" i="28"/>
  <c r="C15" i="28"/>
  <c r="A15" i="28"/>
  <c r="I13" i="28"/>
  <c r="H13" i="28"/>
  <c r="G13" i="28"/>
  <c r="F13" i="28"/>
  <c r="E13" i="28"/>
  <c r="D13" i="28"/>
  <c r="C13" i="28"/>
  <c r="A13" i="28"/>
  <c r="I12" i="28"/>
  <c r="H12" i="28"/>
  <c r="G12" i="28"/>
  <c r="F12" i="28"/>
  <c r="E12" i="28"/>
  <c r="D12" i="28"/>
  <c r="C12" i="28"/>
  <c r="B12" i="28"/>
  <c r="A12" i="28"/>
  <c r="I10" i="28"/>
  <c r="H10" i="28"/>
  <c r="G10" i="28"/>
  <c r="F10" i="28"/>
  <c r="E10" i="28"/>
  <c r="D10" i="28"/>
  <c r="C10" i="28"/>
  <c r="A10" i="28"/>
  <c r="I9" i="28"/>
  <c r="H9" i="28"/>
  <c r="G9" i="28"/>
  <c r="F9" i="28"/>
  <c r="E9" i="28"/>
  <c r="D9" i="28"/>
  <c r="C9" i="28"/>
  <c r="A9" i="28"/>
  <c r="I8" i="28"/>
  <c r="H8" i="28"/>
  <c r="G8" i="28"/>
  <c r="F8" i="28"/>
  <c r="E8" i="28"/>
  <c r="D8" i="28"/>
  <c r="C8" i="28"/>
  <c r="A8" i="28"/>
  <c r="I7" i="28"/>
  <c r="H7" i="28"/>
  <c r="G7" i="28"/>
  <c r="F7" i="28"/>
  <c r="E7" i="28"/>
  <c r="D7" i="28"/>
  <c r="C7" i="28"/>
  <c r="A7" i="28"/>
  <c r="I6" i="28"/>
  <c r="H6" i="28"/>
  <c r="G6" i="28"/>
  <c r="F6" i="28"/>
  <c r="E6" i="28"/>
  <c r="D6" i="28"/>
  <c r="C6" i="28"/>
  <c r="A6" i="28"/>
  <c r="I5" i="28"/>
  <c r="H5" i="28"/>
  <c r="G5" i="28"/>
  <c r="F5" i="28"/>
  <c r="E5" i="28"/>
  <c r="D5" i="28"/>
  <c r="C5" i="28"/>
  <c r="A5" i="28"/>
  <c r="I4" i="28"/>
  <c r="H4" i="28"/>
  <c r="G4" i="28"/>
  <c r="F4" i="28"/>
  <c r="E4" i="28"/>
  <c r="D4" i="28"/>
  <c r="C4" i="28"/>
  <c r="A4" i="28"/>
  <c r="I3" i="28"/>
  <c r="H3" i="28"/>
  <c r="G3" i="28"/>
  <c r="F3" i="28"/>
  <c r="E3" i="28"/>
  <c r="D3" i="28"/>
  <c r="C3" i="28"/>
  <c r="A3" i="28"/>
  <c r="I1" i="28"/>
  <c r="G1" i="28"/>
  <c r="F1" i="28"/>
  <c r="E1" i="28"/>
  <c r="D1" i="28"/>
  <c r="C1" i="28"/>
  <c r="B1" i="28"/>
  <c r="I17" i="27"/>
  <c r="H17" i="27"/>
  <c r="G17" i="27"/>
  <c r="F17" i="27"/>
  <c r="E17" i="27"/>
  <c r="D17" i="27"/>
  <c r="C17" i="27"/>
  <c r="A17" i="27"/>
  <c r="I16" i="27"/>
  <c r="H16" i="27"/>
  <c r="G16" i="27"/>
  <c r="F16" i="27"/>
  <c r="E16" i="27"/>
  <c r="D16" i="27"/>
  <c r="C16" i="27"/>
  <c r="B16" i="27"/>
  <c r="A16" i="27"/>
  <c r="I14" i="27"/>
  <c r="H14" i="27"/>
  <c r="G14" i="27"/>
  <c r="F14" i="27"/>
  <c r="E14" i="27"/>
  <c r="D14" i="27"/>
  <c r="C14" i="27"/>
  <c r="B14" i="27"/>
  <c r="A14" i="27"/>
  <c r="I13" i="27"/>
  <c r="H13" i="27"/>
  <c r="G13" i="27"/>
  <c r="F13" i="27"/>
  <c r="E13" i="27"/>
  <c r="D13" i="27"/>
  <c r="C13" i="27"/>
  <c r="B13" i="27"/>
  <c r="A13" i="27"/>
  <c r="I11" i="27"/>
  <c r="H11" i="27"/>
  <c r="G11" i="27"/>
  <c r="F11" i="27"/>
  <c r="E11" i="27"/>
  <c r="D11" i="27"/>
  <c r="C11" i="27"/>
  <c r="B11" i="27"/>
  <c r="A11" i="27"/>
  <c r="I10" i="27"/>
  <c r="H10" i="27"/>
  <c r="G10" i="27"/>
  <c r="F10" i="27"/>
  <c r="E10" i="27"/>
  <c r="D10" i="27"/>
  <c r="C10" i="27"/>
  <c r="A10" i="27"/>
  <c r="I9" i="27"/>
  <c r="H9" i="27"/>
  <c r="G9" i="27"/>
  <c r="F9" i="27"/>
  <c r="E9" i="27"/>
  <c r="D9" i="27"/>
  <c r="C9" i="27"/>
  <c r="A9" i="27"/>
  <c r="I8" i="27"/>
  <c r="H8" i="27"/>
  <c r="G8" i="27"/>
  <c r="F8" i="27"/>
  <c r="E8" i="27"/>
  <c r="D8" i="27"/>
  <c r="C8" i="27"/>
  <c r="A8" i="27"/>
  <c r="I7" i="27"/>
  <c r="H7" i="27"/>
  <c r="G7" i="27"/>
  <c r="F7" i="27"/>
  <c r="E7" i="27"/>
  <c r="D7" i="27"/>
  <c r="C7" i="27"/>
  <c r="A7" i="27"/>
  <c r="I6" i="27"/>
  <c r="H6" i="27"/>
  <c r="G6" i="27"/>
  <c r="F6" i="27"/>
  <c r="E6" i="27"/>
  <c r="D6" i="27"/>
  <c r="C6" i="27"/>
  <c r="A6" i="27"/>
  <c r="I5" i="27"/>
  <c r="H5" i="27"/>
  <c r="G5" i="27"/>
  <c r="F5" i="27"/>
  <c r="E5" i="27"/>
  <c r="D5" i="27"/>
  <c r="C5" i="27"/>
  <c r="A5" i="27"/>
  <c r="I4" i="27"/>
  <c r="H4" i="27"/>
  <c r="G4" i="27"/>
  <c r="F4" i="27"/>
  <c r="E4" i="27"/>
  <c r="D4" i="27"/>
  <c r="C4" i="27"/>
  <c r="A4" i="27"/>
  <c r="I3" i="27"/>
  <c r="H3" i="27"/>
  <c r="G3" i="27"/>
  <c r="F3" i="27"/>
  <c r="E3" i="27"/>
  <c r="D3" i="27"/>
  <c r="C3" i="27"/>
  <c r="A3" i="27"/>
  <c r="I1" i="27"/>
  <c r="G1" i="27"/>
  <c r="F1" i="27"/>
  <c r="E1" i="27"/>
  <c r="D1" i="27"/>
  <c r="C1" i="27"/>
  <c r="B1" i="27"/>
  <c r="I23" i="26"/>
  <c r="H23" i="26"/>
  <c r="G23" i="26"/>
  <c r="F23" i="26"/>
  <c r="E23" i="26"/>
  <c r="D23" i="26"/>
  <c r="C23" i="26"/>
  <c r="B23" i="26"/>
  <c r="A23" i="26"/>
  <c r="I22" i="26"/>
  <c r="H22" i="26"/>
  <c r="G22" i="26"/>
  <c r="F22" i="26"/>
  <c r="E22" i="26"/>
  <c r="D22" i="26"/>
  <c r="C22" i="26"/>
  <c r="B22" i="26"/>
  <c r="A22" i="26"/>
  <c r="I21" i="26"/>
  <c r="H21" i="26"/>
  <c r="G21" i="26"/>
  <c r="F21" i="26"/>
  <c r="E21" i="26"/>
  <c r="D21" i="26"/>
  <c r="C21" i="26"/>
  <c r="B21" i="26"/>
  <c r="A21" i="26"/>
  <c r="I20" i="26"/>
  <c r="H20" i="26"/>
  <c r="G20" i="26"/>
  <c r="F20" i="26"/>
  <c r="E20" i="26"/>
  <c r="D20" i="26"/>
  <c r="C20" i="26"/>
  <c r="B20" i="26"/>
  <c r="A20" i="26"/>
  <c r="I19" i="26"/>
  <c r="H19" i="26"/>
  <c r="G19" i="26"/>
  <c r="F19" i="26"/>
  <c r="E19" i="26"/>
  <c r="D19" i="26"/>
  <c r="C19" i="26"/>
  <c r="B19" i="26"/>
  <c r="A19" i="26"/>
  <c r="I18" i="26"/>
  <c r="H18" i="26"/>
  <c r="G18" i="26"/>
  <c r="F18" i="26"/>
  <c r="E18" i="26"/>
  <c r="D18" i="26"/>
  <c r="C18" i="26"/>
  <c r="B18" i="26"/>
  <c r="A18" i="26"/>
  <c r="I17" i="26"/>
  <c r="H17" i="26"/>
  <c r="G17" i="26"/>
  <c r="F17" i="26"/>
  <c r="E17" i="26"/>
  <c r="D17" i="26"/>
  <c r="C17" i="26"/>
  <c r="B17" i="26"/>
  <c r="A17" i="26"/>
  <c r="I16" i="26"/>
  <c r="H16" i="26"/>
  <c r="G16" i="26"/>
  <c r="F16" i="26"/>
  <c r="E16" i="26"/>
  <c r="D16" i="26"/>
  <c r="C16" i="26"/>
  <c r="B16" i="26"/>
  <c r="A16" i="26"/>
  <c r="I15" i="26"/>
  <c r="H15" i="26"/>
  <c r="G15" i="26"/>
  <c r="F15" i="26"/>
  <c r="E15" i="26"/>
  <c r="D15" i="26"/>
  <c r="C15" i="26"/>
  <c r="A15" i="26"/>
  <c r="I14" i="26"/>
  <c r="H14" i="26"/>
  <c r="G14" i="26"/>
  <c r="F14" i="26"/>
  <c r="E14" i="26"/>
  <c r="D14" i="26"/>
  <c r="C14" i="26"/>
  <c r="A14" i="26"/>
  <c r="I13" i="26"/>
  <c r="H13" i="26"/>
  <c r="G13" i="26"/>
  <c r="F13" i="26"/>
  <c r="E13" i="26"/>
  <c r="D13" i="26"/>
  <c r="C13" i="26"/>
  <c r="B13" i="26"/>
  <c r="A13" i="26"/>
  <c r="I12" i="26"/>
  <c r="H12" i="26"/>
  <c r="G12" i="26"/>
  <c r="F12" i="26"/>
  <c r="E12" i="26"/>
  <c r="D12" i="26"/>
  <c r="C12" i="26"/>
  <c r="A12" i="26"/>
  <c r="I10" i="26"/>
  <c r="H10" i="26"/>
  <c r="G10" i="26"/>
  <c r="F10" i="26"/>
  <c r="E10" i="26"/>
  <c r="D10" i="26"/>
  <c r="C10" i="26"/>
  <c r="B10" i="26"/>
  <c r="A10" i="26"/>
  <c r="I8" i="26"/>
  <c r="H8" i="26"/>
  <c r="G8" i="26"/>
  <c r="F8" i="26"/>
  <c r="E8" i="26"/>
  <c r="D8" i="26"/>
  <c r="C8" i="26"/>
  <c r="A8" i="26"/>
  <c r="I7" i="26"/>
  <c r="H7" i="26"/>
  <c r="G7" i="26"/>
  <c r="F7" i="26"/>
  <c r="E7" i="26"/>
  <c r="D7" i="26"/>
  <c r="C7" i="26"/>
  <c r="A7" i="26"/>
  <c r="I6" i="26"/>
  <c r="H6" i="26"/>
  <c r="G6" i="26"/>
  <c r="F6" i="26"/>
  <c r="E6" i="26"/>
  <c r="D6" i="26"/>
  <c r="C6" i="26"/>
  <c r="A6" i="26"/>
  <c r="I5" i="26"/>
  <c r="H5" i="26"/>
  <c r="G5" i="26"/>
  <c r="F5" i="26"/>
  <c r="E5" i="26"/>
  <c r="D5" i="26"/>
  <c r="C5" i="26"/>
  <c r="A5" i="26"/>
  <c r="I4" i="26"/>
  <c r="H4" i="26"/>
  <c r="G4" i="26"/>
  <c r="F4" i="26"/>
  <c r="E4" i="26"/>
  <c r="D4" i="26"/>
  <c r="C4" i="26"/>
  <c r="A4" i="26"/>
  <c r="I3" i="26"/>
  <c r="H3" i="26"/>
  <c r="G3" i="26"/>
  <c r="F3" i="26"/>
  <c r="E3" i="26"/>
  <c r="D3" i="26"/>
  <c r="C3" i="26"/>
  <c r="A3" i="26"/>
  <c r="I1" i="26"/>
  <c r="G1" i="26"/>
  <c r="F1" i="26"/>
  <c r="E1" i="26"/>
  <c r="D1" i="26"/>
  <c r="C1" i="26"/>
  <c r="B1" i="26"/>
  <c r="I22" i="25"/>
  <c r="H22" i="25"/>
  <c r="G22" i="25"/>
  <c r="F22" i="25"/>
  <c r="E22" i="25"/>
  <c r="D22" i="25"/>
  <c r="C22" i="25"/>
  <c r="B22" i="25"/>
  <c r="A22" i="25"/>
  <c r="I21" i="25"/>
  <c r="H21" i="25"/>
  <c r="G21" i="25"/>
  <c r="F21" i="25"/>
  <c r="E21" i="25"/>
  <c r="D21" i="25"/>
  <c r="C21" i="25"/>
  <c r="B21" i="25"/>
  <c r="A21" i="25"/>
  <c r="I20" i="25"/>
  <c r="H20" i="25"/>
  <c r="G20" i="25"/>
  <c r="F20" i="25"/>
  <c r="E20" i="25"/>
  <c r="D20" i="25"/>
  <c r="C20" i="25"/>
  <c r="B20" i="25"/>
  <c r="A20" i="25"/>
  <c r="I19" i="25"/>
  <c r="H19" i="25"/>
  <c r="G19" i="25"/>
  <c r="F19" i="25"/>
  <c r="E19" i="25"/>
  <c r="D19" i="25"/>
  <c r="C19" i="25"/>
  <c r="B19" i="25"/>
  <c r="A19" i="25"/>
  <c r="I18" i="25"/>
  <c r="H18" i="25"/>
  <c r="G18" i="25"/>
  <c r="F18" i="25"/>
  <c r="E18" i="25"/>
  <c r="D18" i="25"/>
  <c r="C18" i="25"/>
  <c r="A18" i="25"/>
  <c r="I17" i="25"/>
  <c r="H17" i="25"/>
  <c r="G17" i="25"/>
  <c r="F17" i="25"/>
  <c r="E17" i="25"/>
  <c r="D17" i="25"/>
  <c r="C17" i="25"/>
  <c r="A17" i="25"/>
  <c r="I16" i="25"/>
  <c r="H16" i="25"/>
  <c r="G16" i="25"/>
  <c r="F16" i="25"/>
  <c r="E16" i="25"/>
  <c r="D16" i="25"/>
  <c r="C16" i="25"/>
  <c r="A16" i="25"/>
  <c r="I15" i="25"/>
  <c r="H15" i="25"/>
  <c r="G15" i="25"/>
  <c r="F15" i="25"/>
  <c r="E15" i="25"/>
  <c r="D15" i="25"/>
  <c r="C15" i="25"/>
  <c r="A15" i="25"/>
  <c r="I14" i="25"/>
  <c r="H14" i="25"/>
  <c r="G14" i="25"/>
  <c r="F14" i="25"/>
  <c r="E14" i="25"/>
  <c r="D14" i="25"/>
  <c r="C14" i="25"/>
  <c r="A14" i="25"/>
  <c r="I13" i="25"/>
  <c r="H13" i="25"/>
  <c r="G13" i="25"/>
  <c r="F13" i="25"/>
  <c r="E13" i="25"/>
  <c r="D13" i="25"/>
  <c r="C13" i="25"/>
  <c r="A13" i="25"/>
  <c r="I12" i="25"/>
  <c r="H12" i="25"/>
  <c r="G12" i="25"/>
  <c r="F12" i="25"/>
  <c r="E12" i="25"/>
  <c r="D12" i="25"/>
  <c r="C12" i="25"/>
  <c r="A12" i="25"/>
  <c r="I10" i="25"/>
  <c r="H10" i="25"/>
  <c r="G10" i="25"/>
  <c r="F10" i="25"/>
  <c r="E10" i="25"/>
  <c r="D10" i="25"/>
  <c r="C10" i="25"/>
  <c r="A10" i="25"/>
  <c r="I8" i="25"/>
  <c r="H8" i="25"/>
  <c r="G8" i="25"/>
  <c r="F8" i="25"/>
  <c r="E8" i="25"/>
  <c r="D8" i="25"/>
  <c r="C8" i="25"/>
  <c r="A8" i="25"/>
  <c r="I7" i="25"/>
  <c r="H7" i="25"/>
  <c r="G7" i="25"/>
  <c r="F7" i="25"/>
  <c r="E7" i="25"/>
  <c r="D7" i="25"/>
  <c r="C7" i="25"/>
  <c r="A7" i="25"/>
  <c r="I6" i="25"/>
  <c r="H6" i="25"/>
  <c r="G6" i="25"/>
  <c r="F6" i="25"/>
  <c r="E6" i="25"/>
  <c r="D6" i="25"/>
  <c r="C6" i="25"/>
  <c r="A6" i="25"/>
  <c r="I5" i="25"/>
  <c r="H5" i="25"/>
  <c r="G5" i="25"/>
  <c r="F5" i="25"/>
  <c r="E5" i="25"/>
  <c r="D5" i="25"/>
  <c r="C5" i="25"/>
  <c r="A5" i="25"/>
  <c r="I4" i="25"/>
  <c r="H4" i="25"/>
  <c r="G4" i="25"/>
  <c r="F4" i="25"/>
  <c r="E4" i="25"/>
  <c r="D4" i="25"/>
  <c r="C4" i="25"/>
  <c r="A4" i="25"/>
  <c r="I3" i="25"/>
  <c r="H3" i="25"/>
  <c r="G3" i="25"/>
  <c r="F3" i="25"/>
  <c r="E3" i="25"/>
  <c r="D3" i="25"/>
  <c r="C3" i="25"/>
  <c r="A3" i="25"/>
  <c r="I1" i="25"/>
  <c r="G1" i="25"/>
  <c r="F1" i="25"/>
  <c r="E1" i="25"/>
  <c r="D1" i="25"/>
  <c r="C1" i="25"/>
  <c r="B1" i="25"/>
  <c r="I19" i="24"/>
  <c r="H19" i="24"/>
  <c r="G19" i="24"/>
  <c r="F19" i="24"/>
  <c r="E19" i="24"/>
  <c r="D19" i="24"/>
  <c r="C19" i="24"/>
  <c r="B19" i="24"/>
  <c r="A19" i="24"/>
  <c r="I18" i="24"/>
  <c r="H18" i="24"/>
  <c r="G18" i="24"/>
  <c r="F18" i="24"/>
  <c r="E18" i="24"/>
  <c r="D18" i="24"/>
  <c r="C18" i="24"/>
  <c r="B18" i="24"/>
  <c r="A18" i="24"/>
  <c r="I17" i="24"/>
  <c r="H17" i="24"/>
  <c r="G17" i="24"/>
  <c r="F17" i="24"/>
  <c r="E17" i="24"/>
  <c r="D17" i="24"/>
  <c r="C17" i="24"/>
  <c r="A17" i="24"/>
  <c r="I16" i="24"/>
  <c r="H16" i="24"/>
  <c r="G16" i="24"/>
  <c r="F16" i="24"/>
  <c r="E16" i="24"/>
  <c r="D16" i="24"/>
  <c r="C16" i="24"/>
  <c r="B16" i="24"/>
  <c r="A16" i="24"/>
  <c r="I15" i="24"/>
  <c r="H15" i="24"/>
  <c r="G15" i="24"/>
  <c r="F15" i="24"/>
  <c r="E15" i="24"/>
  <c r="D15" i="24"/>
  <c r="C15" i="24"/>
  <c r="A15" i="24"/>
  <c r="I14" i="24"/>
  <c r="H14" i="24"/>
  <c r="G14" i="24"/>
  <c r="F14" i="24"/>
  <c r="E14" i="24"/>
  <c r="D14" i="24"/>
  <c r="C14" i="24"/>
  <c r="A14" i="24"/>
  <c r="I13" i="24"/>
  <c r="H13" i="24"/>
  <c r="G13" i="24"/>
  <c r="F13" i="24"/>
  <c r="E13" i="24"/>
  <c r="D13" i="24"/>
  <c r="C13" i="24"/>
  <c r="A13" i="24"/>
  <c r="I12" i="24"/>
  <c r="H12" i="24"/>
  <c r="G12" i="24"/>
  <c r="F12" i="24"/>
  <c r="E12" i="24"/>
  <c r="D12" i="24"/>
  <c r="C12" i="24"/>
  <c r="A12" i="24"/>
  <c r="I10" i="24"/>
  <c r="H10" i="24"/>
  <c r="G10" i="24"/>
  <c r="F10" i="24"/>
  <c r="E10" i="24"/>
  <c r="D10" i="24"/>
  <c r="C10" i="24"/>
  <c r="B10" i="24"/>
  <c r="A10" i="24"/>
  <c r="I8" i="24"/>
  <c r="H8" i="24"/>
  <c r="G8" i="24"/>
  <c r="F8" i="24"/>
  <c r="E8" i="24"/>
  <c r="D8" i="24"/>
  <c r="C8" i="24"/>
  <c r="A8" i="24"/>
  <c r="I7" i="24"/>
  <c r="H7" i="24"/>
  <c r="G7" i="24"/>
  <c r="F7" i="24"/>
  <c r="E7" i="24"/>
  <c r="D7" i="24"/>
  <c r="C7" i="24"/>
  <c r="A7" i="24"/>
  <c r="I6" i="24"/>
  <c r="H6" i="24"/>
  <c r="G6" i="24"/>
  <c r="F6" i="24"/>
  <c r="E6" i="24"/>
  <c r="D6" i="24"/>
  <c r="C6" i="24"/>
  <c r="A6" i="24"/>
  <c r="I5" i="24"/>
  <c r="H5" i="24"/>
  <c r="G5" i="24"/>
  <c r="F5" i="24"/>
  <c r="E5" i="24"/>
  <c r="D5" i="24"/>
  <c r="C5" i="24"/>
  <c r="A5" i="24"/>
  <c r="I4" i="24"/>
  <c r="H4" i="24"/>
  <c r="G4" i="24"/>
  <c r="F4" i="24"/>
  <c r="E4" i="24"/>
  <c r="D4" i="24"/>
  <c r="C4" i="24"/>
  <c r="A4" i="24"/>
  <c r="I3" i="24"/>
  <c r="H3" i="24"/>
  <c r="G3" i="24"/>
  <c r="F3" i="24"/>
  <c r="E3" i="24"/>
  <c r="D3" i="24"/>
  <c r="C3" i="24"/>
  <c r="A3" i="24"/>
  <c r="I1" i="24"/>
  <c r="G1" i="24"/>
  <c r="F1" i="24"/>
  <c r="E1" i="24"/>
  <c r="D1" i="24"/>
  <c r="C1" i="24"/>
  <c r="B1" i="24"/>
  <c r="I16" i="23"/>
  <c r="H16" i="23"/>
  <c r="G16" i="23"/>
  <c r="F16" i="23"/>
  <c r="E16" i="23"/>
  <c r="D16" i="23"/>
  <c r="C16" i="23"/>
  <c r="A16" i="23"/>
  <c r="I15" i="23"/>
  <c r="H15" i="23"/>
  <c r="G15" i="23"/>
  <c r="F15" i="23"/>
  <c r="E15" i="23"/>
  <c r="D15" i="23"/>
  <c r="C15" i="23"/>
  <c r="B15" i="23"/>
  <c r="A15" i="23"/>
  <c r="I14" i="23"/>
  <c r="H14" i="23"/>
  <c r="G14" i="23"/>
  <c r="F14" i="23"/>
  <c r="E14" i="23"/>
  <c r="D14" i="23"/>
  <c r="C14" i="23"/>
  <c r="B14" i="23"/>
  <c r="A14" i="23"/>
  <c r="I13" i="23"/>
  <c r="H13" i="23"/>
  <c r="G13" i="23"/>
  <c r="F13" i="23"/>
  <c r="E13" i="23"/>
  <c r="D13" i="23"/>
  <c r="C13" i="23"/>
  <c r="A13" i="23"/>
  <c r="I12" i="23"/>
  <c r="H12" i="23"/>
  <c r="G12" i="23"/>
  <c r="F12" i="23"/>
  <c r="E12" i="23"/>
  <c r="D12" i="23"/>
  <c r="C12" i="23"/>
  <c r="B12" i="23"/>
  <c r="A12" i="23"/>
  <c r="I11" i="23"/>
  <c r="H11" i="23"/>
  <c r="G11" i="23"/>
  <c r="F11" i="23"/>
  <c r="E11" i="23"/>
  <c r="D11" i="23"/>
  <c r="C11" i="23"/>
  <c r="A11" i="23"/>
  <c r="I10" i="23"/>
  <c r="H10" i="23"/>
  <c r="G10" i="23"/>
  <c r="F10" i="23"/>
  <c r="E10" i="23"/>
  <c r="D10" i="23"/>
  <c r="C10" i="23"/>
  <c r="B10" i="23"/>
  <c r="A10" i="23"/>
  <c r="I8" i="23"/>
  <c r="H8" i="23"/>
  <c r="G8" i="23"/>
  <c r="F8" i="23"/>
  <c r="E8" i="23"/>
  <c r="D8" i="23"/>
  <c r="C8" i="23"/>
  <c r="A8" i="23"/>
  <c r="I6" i="23"/>
  <c r="H6" i="23"/>
  <c r="G6" i="23"/>
  <c r="F6" i="23"/>
  <c r="E6" i="23"/>
  <c r="D6" i="23"/>
  <c r="C6" i="23"/>
  <c r="A6" i="23"/>
  <c r="I5" i="23"/>
  <c r="H5" i="23"/>
  <c r="G5" i="23"/>
  <c r="F5" i="23"/>
  <c r="E5" i="23"/>
  <c r="D5" i="23"/>
  <c r="C5" i="23"/>
  <c r="A5" i="23"/>
  <c r="I4" i="23"/>
  <c r="H4" i="23"/>
  <c r="G4" i="23"/>
  <c r="F4" i="23"/>
  <c r="E4" i="23"/>
  <c r="D4" i="23"/>
  <c r="C4" i="23"/>
  <c r="A4" i="23"/>
  <c r="I3" i="23"/>
  <c r="H3" i="23"/>
  <c r="G3" i="23"/>
  <c r="F3" i="23"/>
  <c r="E3" i="23"/>
  <c r="D3" i="23"/>
  <c r="C3" i="23"/>
  <c r="A3" i="23"/>
  <c r="I1" i="23"/>
  <c r="G1" i="23"/>
  <c r="F1" i="23"/>
  <c r="E1" i="23"/>
  <c r="D1" i="23"/>
  <c r="C1" i="23"/>
  <c r="B1" i="23"/>
  <c r="I26" i="22"/>
  <c r="H26" i="22"/>
  <c r="G26" i="22"/>
  <c r="F26" i="22"/>
  <c r="E26" i="22"/>
  <c r="D26" i="22"/>
  <c r="C26" i="22"/>
  <c r="B26" i="22"/>
  <c r="A26" i="22"/>
  <c r="I25" i="22"/>
  <c r="H25" i="22"/>
  <c r="G25" i="22"/>
  <c r="F25" i="22"/>
  <c r="E25" i="22"/>
  <c r="D25" i="22"/>
  <c r="C25" i="22"/>
  <c r="B25" i="22"/>
  <c r="A25" i="22"/>
  <c r="I24" i="22"/>
  <c r="H24" i="22"/>
  <c r="G24" i="22"/>
  <c r="F24" i="22"/>
  <c r="E24" i="22"/>
  <c r="D24" i="22"/>
  <c r="C24" i="22"/>
  <c r="B24" i="22"/>
  <c r="A24" i="22"/>
  <c r="I23" i="22"/>
  <c r="H23" i="22"/>
  <c r="G23" i="22"/>
  <c r="F23" i="22"/>
  <c r="E23" i="22"/>
  <c r="D23" i="22"/>
  <c r="C23" i="22"/>
  <c r="A23" i="22"/>
  <c r="I22" i="22"/>
  <c r="H22" i="22"/>
  <c r="G22" i="22"/>
  <c r="F22" i="22"/>
  <c r="E22" i="22"/>
  <c r="D22" i="22"/>
  <c r="C22" i="22"/>
  <c r="A22" i="22"/>
  <c r="I21" i="22"/>
  <c r="H21" i="22"/>
  <c r="G21" i="22"/>
  <c r="F21" i="22"/>
  <c r="E21" i="22"/>
  <c r="D21" i="22"/>
  <c r="C21" i="22"/>
  <c r="A21" i="22"/>
  <c r="I20" i="22"/>
  <c r="H20" i="22"/>
  <c r="G20" i="22"/>
  <c r="F20" i="22"/>
  <c r="E20" i="22"/>
  <c r="D20" i="22"/>
  <c r="C20" i="22"/>
  <c r="A20" i="22"/>
  <c r="I19" i="22"/>
  <c r="H19" i="22"/>
  <c r="G19" i="22"/>
  <c r="F19" i="22"/>
  <c r="E19" i="22"/>
  <c r="D19" i="22"/>
  <c r="C19" i="22"/>
  <c r="A19" i="22"/>
  <c r="I18" i="22"/>
  <c r="H18" i="22"/>
  <c r="G18" i="22"/>
  <c r="F18" i="22"/>
  <c r="E18" i="22"/>
  <c r="D18" i="22"/>
  <c r="C18" i="22"/>
  <c r="A18" i="22"/>
  <c r="I17" i="22"/>
  <c r="H17" i="22"/>
  <c r="G17" i="22"/>
  <c r="F17" i="22"/>
  <c r="E17" i="22"/>
  <c r="D17" i="22"/>
  <c r="C17" i="22"/>
  <c r="A17" i="22"/>
  <c r="I15" i="22"/>
  <c r="H15" i="22"/>
  <c r="G15" i="22"/>
  <c r="F15" i="22"/>
  <c r="E15" i="22"/>
  <c r="D15" i="22"/>
  <c r="C15" i="22"/>
  <c r="B15" i="22"/>
  <c r="A15" i="22"/>
  <c r="I13" i="22"/>
  <c r="H13" i="22"/>
  <c r="G13" i="22"/>
  <c r="F13" i="22"/>
  <c r="E13" i="22"/>
  <c r="D13" i="22"/>
  <c r="C13" i="22"/>
  <c r="A13" i="22"/>
  <c r="I12" i="22"/>
  <c r="H12" i="22"/>
  <c r="G12" i="22"/>
  <c r="F12" i="22"/>
  <c r="E12" i="22"/>
  <c r="D12" i="22"/>
  <c r="C12" i="22"/>
  <c r="A12" i="22"/>
  <c r="I11" i="22"/>
  <c r="H11" i="22"/>
  <c r="G11" i="22"/>
  <c r="F11" i="22"/>
  <c r="E11" i="22"/>
  <c r="D11" i="22"/>
  <c r="C11" i="22"/>
  <c r="A11" i="22"/>
  <c r="I10" i="22"/>
  <c r="H10" i="22"/>
  <c r="G10" i="22"/>
  <c r="F10" i="22"/>
  <c r="E10" i="22"/>
  <c r="D10" i="22"/>
  <c r="C10" i="22"/>
  <c r="A10" i="22"/>
  <c r="I9" i="22"/>
  <c r="H9" i="22"/>
  <c r="G9" i="22"/>
  <c r="F9" i="22"/>
  <c r="E9" i="22"/>
  <c r="D9" i="22"/>
  <c r="C9" i="22"/>
  <c r="A9" i="22"/>
  <c r="I8" i="22"/>
  <c r="H8" i="22"/>
  <c r="G8" i="22"/>
  <c r="F8" i="22"/>
  <c r="E8" i="22"/>
  <c r="D8" i="22"/>
  <c r="C8" i="22"/>
  <c r="A8" i="22"/>
  <c r="I7" i="22"/>
  <c r="H7" i="22"/>
  <c r="G7" i="22"/>
  <c r="F7" i="22"/>
  <c r="E7" i="22"/>
  <c r="D7" i="22"/>
  <c r="C7" i="22"/>
  <c r="A7" i="22"/>
  <c r="I6" i="22"/>
  <c r="H6" i="22"/>
  <c r="G6" i="22"/>
  <c r="F6" i="22"/>
  <c r="E6" i="22"/>
  <c r="D6" i="22"/>
  <c r="C6" i="22"/>
  <c r="A6" i="22"/>
  <c r="I5" i="22"/>
  <c r="H5" i="22"/>
  <c r="G5" i="22"/>
  <c r="F5" i="22"/>
  <c r="E5" i="22"/>
  <c r="D5" i="22"/>
  <c r="C5" i="22"/>
  <c r="A5" i="22"/>
  <c r="I4" i="22"/>
  <c r="H4" i="22"/>
  <c r="G4" i="22"/>
  <c r="F4" i="22"/>
  <c r="E4" i="22"/>
  <c r="D4" i="22"/>
  <c r="C4" i="22"/>
  <c r="A4" i="22"/>
  <c r="I3" i="22"/>
  <c r="H3" i="22"/>
  <c r="G3" i="22"/>
  <c r="F3" i="22"/>
  <c r="E3" i="22"/>
  <c r="D3" i="22"/>
  <c r="C3" i="22"/>
  <c r="A3" i="22"/>
  <c r="I1" i="22"/>
  <c r="G1" i="22"/>
  <c r="F1" i="22"/>
  <c r="E1" i="22"/>
  <c r="D1" i="22"/>
  <c r="C1" i="22"/>
  <c r="B1" i="22"/>
  <c r="I22" i="21"/>
  <c r="H22" i="21"/>
  <c r="G22" i="21"/>
  <c r="F22" i="21"/>
  <c r="E22" i="21"/>
  <c r="D22" i="21"/>
  <c r="C22" i="21"/>
  <c r="A22" i="21"/>
  <c r="I21" i="21"/>
  <c r="H21" i="21"/>
  <c r="G21" i="21"/>
  <c r="F21" i="21"/>
  <c r="E21" i="21"/>
  <c r="D21" i="21"/>
  <c r="C21" i="21"/>
  <c r="B21" i="21"/>
  <c r="A21" i="21"/>
  <c r="I20" i="21"/>
  <c r="H20" i="21"/>
  <c r="G20" i="21"/>
  <c r="F20" i="21"/>
  <c r="E20" i="21"/>
  <c r="D20" i="21"/>
  <c r="C20" i="21"/>
  <c r="B20" i="21"/>
  <c r="A20" i="21"/>
  <c r="I19" i="21"/>
  <c r="H19" i="21"/>
  <c r="G19" i="21"/>
  <c r="F19" i="21"/>
  <c r="E19" i="21"/>
  <c r="D19" i="21"/>
  <c r="C19" i="21"/>
  <c r="A19" i="21"/>
  <c r="I18" i="21"/>
  <c r="H18" i="21"/>
  <c r="G18" i="21"/>
  <c r="F18" i="21"/>
  <c r="E18" i="21"/>
  <c r="D18" i="21"/>
  <c r="C18" i="21"/>
  <c r="A18" i="21"/>
  <c r="I17" i="21"/>
  <c r="H17" i="21"/>
  <c r="G17" i="21"/>
  <c r="F17" i="21"/>
  <c r="E17" i="21"/>
  <c r="D17" i="21"/>
  <c r="C17" i="21"/>
  <c r="A17" i="21"/>
  <c r="I16" i="21"/>
  <c r="H16" i="21"/>
  <c r="G16" i="21"/>
  <c r="F16" i="21"/>
  <c r="E16" i="21"/>
  <c r="D16" i="21"/>
  <c r="C16" i="21"/>
  <c r="A16" i="21"/>
  <c r="I15" i="21"/>
  <c r="H15" i="21"/>
  <c r="G15" i="21"/>
  <c r="F15" i="21"/>
  <c r="E15" i="21"/>
  <c r="D15" i="21"/>
  <c r="C15" i="21"/>
  <c r="A15" i="21"/>
  <c r="I14" i="21"/>
  <c r="H14" i="21"/>
  <c r="G14" i="21"/>
  <c r="F14" i="21"/>
  <c r="E14" i="21"/>
  <c r="D14" i="21"/>
  <c r="C14" i="21"/>
  <c r="A14" i="21"/>
  <c r="I13" i="21"/>
  <c r="H13" i="21"/>
  <c r="G13" i="21"/>
  <c r="F13" i="21"/>
  <c r="E13" i="21"/>
  <c r="D13" i="21"/>
  <c r="C13" i="21"/>
  <c r="B13" i="21"/>
  <c r="A13" i="21"/>
  <c r="I12" i="21"/>
  <c r="H12" i="21"/>
  <c r="G12" i="21"/>
  <c r="F12" i="21"/>
  <c r="E12" i="21"/>
  <c r="D12" i="21"/>
  <c r="C12" i="21"/>
  <c r="A12" i="21"/>
  <c r="I10" i="21"/>
  <c r="H10" i="21"/>
  <c r="G10" i="21"/>
  <c r="F10" i="21"/>
  <c r="E10" i="21"/>
  <c r="D10" i="21"/>
  <c r="C10" i="21"/>
  <c r="A10" i="21"/>
  <c r="I8" i="21"/>
  <c r="H8" i="21"/>
  <c r="G8" i="21"/>
  <c r="F8" i="21"/>
  <c r="E8" i="21"/>
  <c r="D8" i="21"/>
  <c r="C8" i="21"/>
  <c r="A8" i="21"/>
  <c r="I7" i="21"/>
  <c r="H7" i="21"/>
  <c r="G7" i="21"/>
  <c r="F7" i="21"/>
  <c r="E7" i="21"/>
  <c r="D7" i="21"/>
  <c r="C7" i="21"/>
  <c r="A7" i="21"/>
  <c r="I6" i="21"/>
  <c r="H6" i="21"/>
  <c r="G6" i="21"/>
  <c r="F6" i="21"/>
  <c r="E6" i="21"/>
  <c r="D6" i="21"/>
  <c r="C6" i="21"/>
  <c r="A6" i="21"/>
  <c r="I5" i="21"/>
  <c r="H5" i="21"/>
  <c r="G5" i="21"/>
  <c r="F5" i="21"/>
  <c r="E5" i="21"/>
  <c r="D5" i="21"/>
  <c r="C5" i="21"/>
  <c r="A5" i="21"/>
  <c r="I4" i="21"/>
  <c r="H4" i="21"/>
  <c r="G4" i="21"/>
  <c r="F4" i="21"/>
  <c r="E4" i="21"/>
  <c r="D4" i="21"/>
  <c r="C4" i="21"/>
  <c r="A4" i="21"/>
  <c r="I3" i="21"/>
  <c r="H3" i="21"/>
  <c r="G3" i="21"/>
  <c r="F3" i="21"/>
  <c r="E3" i="21"/>
  <c r="D3" i="21"/>
  <c r="C3" i="21"/>
  <c r="A3" i="21"/>
  <c r="I1" i="21"/>
  <c r="G1" i="21"/>
  <c r="F1" i="21"/>
  <c r="E1" i="21"/>
  <c r="D1" i="21"/>
  <c r="C1" i="21"/>
  <c r="B1" i="21"/>
  <c r="I25" i="20"/>
  <c r="H25" i="20"/>
  <c r="G25" i="20"/>
  <c r="F25" i="20"/>
  <c r="E25" i="20"/>
  <c r="D25" i="20"/>
  <c r="C25" i="20"/>
  <c r="B25" i="20"/>
  <c r="A25" i="20"/>
  <c r="I24" i="20"/>
  <c r="H24" i="20"/>
  <c r="G24" i="20"/>
  <c r="F24" i="20"/>
  <c r="E24" i="20"/>
  <c r="D24" i="20"/>
  <c r="C24" i="20"/>
  <c r="B24" i="20"/>
  <c r="A24" i="20"/>
  <c r="I23" i="20"/>
  <c r="H23" i="20"/>
  <c r="G23" i="20"/>
  <c r="F23" i="20"/>
  <c r="E23" i="20"/>
  <c r="D23" i="20"/>
  <c r="C23" i="20"/>
  <c r="B23" i="20"/>
  <c r="A23" i="20"/>
  <c r="I22" i="20"/>
  <c r="H22" i="20"/>
  <c r="G22" i="20"/>
  <c r="F22" i="20"/>
  <c r="E22" i="20"/>
  <c r="D22" i="20"/>
  <c r="C22" i="20"/>
  <c r="B22" i="20"/>
  <c r="A22" i="20"/>
  <c r="I21" i="20"/>
  <c r="H21" i="20"/>
  <c r="G21" i="20"/>
  <c r="F21" i="20"/>
  <c r="E21" i="20"/>
  <c r="D21" i="20"/>
  <c r="C21" i="20"/>
  <c r="B21" i="20"/>
  <c r="A21" i="20"/>
  <c r="I20" i="20"/>
  <c r="H20" i="20"/>
  <c r="G20" i="20"/>
  <c r="F20" i="20"/>
  <c r="E20" i="20"/>
  <c r="D20" i="20"/>
  <c r="C20" i="20"/>
  <c r="A20" i="20"/>
  <c r="I19" i="20"/>
  <c r="H19" i="20"/>
  <c r="G19" i="20"/>
  <c r="F19" i="20"/>
  <c r="E19" i="20"/>
  <c r="D19" i="20"/>
  <c r="C19" i="20"/>
  <c r="A19" i="20"/>
  <c r="I18" i="20"/>
  <c r="H18" i="20"/>
  <c r="G18" i="20"/>
  <c r="F18" i="20"/>
  <c r="E18" i="20"/>
  <c r="D18" i="20"/>
  <c r="C18" i="20"/>
  <c r="A18" i="20"/>
  <c r="I17" i="20"/>
  <c r="H17" i="20"/>
  <c r="G17" i="20"/>
  <c r="F17" i="20"/>
  <c r="E17" i="20"/>
  <c r="D17" i="20"/>
  <c r="C17" i="20"/>
  <c r="A17" i="20"/>
  <c r="I16" i="20"/>
  <c r="H16" i="20"/>
  <c r="G16" i="20"/>
  <c r="F16" i="20"/>
  <c r="E16" i="20"/>
  <c r="D16" i="20"/>
  <c r="C16" i="20"/>
  <c r="A16" i="20"/>
  <c r="I15" i="20"/>
  <c r="H15" i="20"/>
  <c r="G15" i="20"/>
  <c r="F15" i="20"/>
  <c r="E15" i="20"/>
  <c r="D15" i="20"/>
  <c r="C15" i="20"/>
  <c r="A15" i="20"/>
  <c r="I13" i="20"/>
  <c r="H13" i="20"/>
  <c r="G13" i="20"/>
  <c r="F13" i="20"/>
  <c r="E13" i="20"/>
  <c r="D13" i="20"/>
  <c r="C13" i="20"/>
  <c r="B13" i="20"/>
  <c r="A13" i="20"/>
  <c r="I11" i="20"/>
  <c r="H11" i="20"/>
  <c r="G11" i="20"/>
  <c r="F11" i="20"/>
  <c r="E11" i="20"/>
  <c r="D11" i="20"/>
  <c r="C11" i="20"/>
  <c r="A11" i="20"/>
  <c r="I10" i="20"/>
  <c r="H10" i="20"/>
  <c r="G10" i="20"/>
  <c r="F10" i="20"/>
  <c r="E10" i="20"/>
  <c r="D10" i="20"/>
  <c r="C10" i="20"/>
  <c r="A10" i="20"/>
  <c r="I9" i="20"/>
  <c r="H9" i="20"/>
  <c r="G9" i="20"/>
  <c r="F9" i="20"/>
  <c r="E9" i="20"/>
  <c r="D9" i="20"/>
  <c r="C9" i="20"/>
  <c r="A9" i="20"/>
  <c r="I8" i="20"/>
  <c r="H8" i="20"/>
  <c r="G8" i="20"/>
  <c r="F8" i="20"/>
  <c r="E8" i="20"/>
  <c r="D8" i="20"/>
  <c r="C8" i="20"/>
  <c r="A8" i="20"/>
  <c r="I7" i="20"/>
  <c r="H7" i="20"/>
  <c r="G7" i="20"/>
  <c r="F7" i="20"/>
  <c r="E7" i="20"/>
  <c r="D7" i="20"/>
  <c r="C7" i="20"/>
  <c r="A7" i="20"/>
  <c r="I6" i="20"/>
  <c r="H6" i="20"/>
  <c r="G6" i="20"/>
  <c r="F6" i="20"/>
  <c r="E6" i="20"/>
  <c r="D6" i="20"/>
  <c r="C6" i="20"/>
  <c r="A6" i="20"/>
  <c r="I5" i="20"/>
  <c r="H5" i="20"/>
  <c r="G5" i="20"/>
  <c r="F5" i="20"/>
  <c r="E5" i="20"/>
  <c r="D5" i="20"/>
  <c r="C5" i="20"/>
  <c r="A5" i="20"/>
  <c r="I4" i="20"/>
  <c r="H4" i="20"/>
  <c r="G4" i="20"/>
  <c r="F4" i="20"/>
  <c r="E4" i="20"/>
  <c r="D4" i="20"/>
  <c r="C4" i="20"/>
  <c r="A4" i="20"/>
  <c r="I3" i="20"/>
  <c r="H3" i="20"/>
  <c r="G3" i="20"/>
  <c r="F3" i="20"/>
  <c r="E3" i="20"/>
  <c r="D3" i="20"/>
  <c r="C3" i="20"/>
  <c r="A3" i="20"/>
  <c r="I1" i="20"/>
  <c r="G1" i="20"/>
  <c r="F1" i="20"/>
  <c r="E1" i="20"/>
  <c r="D1" i="20"/>
  <c r="C1" i="20"/>
  <c r="B1" i="20"/>
  <c r="I46" i="19"/>
  <c r="H46" i="19"/>
  <c r="G46" i="19"/>
  <c r="F46" i="19"/>
  <c r="E46" i="19"/>
  <c r="D46" i="19"/>
  <c r="C46" i="19"/>
  <c r="B46" i="19"/>
  <c r="A46" i="19"/>
  <c r="I45" i="19"/>
  <c r="H45" i="19"/>
  <c r="G45" i="19"/>
  <c r="F45" i="19"/>
  <c r="E45" i="19"/>
  <c r="D45" i="19"/>
  <c r="C45" i="19"/>
  <c r="B45" i="19"/>
  <c r="A45" i="19"/>
  <c r="I44" i="19"/>
  <c r="H44" i="19"/>
  <c r="G44" i="19"/>
  <c r="F44" i="19"/>
  <c r="E44" i="19"/>
  <c r="D44" i="19"/>
  <c r="C44" i="19"/>
  <c r="B44" i="19"/>
  <c r="A44" i="19"/>
  <c r="I43" i="19"/>
  <c r="H43" i="19"/>
  <c r="G43" i="19"/>
  <c r="F43" i="19"/>
  <c r="E43" i="19"/>
  <c r="D43" i="19"/>
  <c r="C43" i="19"/>
  <c r="B43" i="19"/>
  <c r="A43" i="19"/>
  <c r="I42" i="19"/>
  <c r="H42" i="19"/>
  <c r="G42" i="19"/>
  <c r="F42" i="19"/>
  <c r="E42" i="19"/>
  <c r="D42" i="19"/>
  <c r="C42" i="19"/>
  <c r="B42" i="19"/>
  <c r="A42" i="19"/>
  <c r="I41" i="19"/>
  <c r="H41" i="19"/>
  <c r="G41" i="19"/>
  <c r="F41" i="19"/>
  <c r="E41" i="19"/>
  <c r="D41" i="19"/>
  <c r="C41" i="19"/>
  <c r="B41" i="19"/>
  <c r="A41" i="19"/>
  <c r="I40" i="19"/>
  <c r="H40" i="19"/>
  <c r="G40" i="19"/>
  <c r="F40" i="19"/>
  <c r="E40" i="19"/>
  <c r="D40" i="19"/>
  <c r="C40" i="19"/>
  <c r="B40" i="19"/>
  <c r="A40" i="19"/>
  <c r="I39" i="19"/>
  <c r="H39" i="19"/>
  <c r="G39" i="19"/>
  <c r="F39" i="19"/>
  <c r="E39" i="19"/>
  <c r="D39" i="19"/>
  <c r="C39" i="19"/>
  <c r="A39" i="19"/>
  <c r="I38" i="19"/>
  <c r="H38" i="19"/>
  <c r="G38" i="19"/>
  <c r="F38" i="19"/>
  <c r="E38" i="19"/>
  <c r="D38" i="19"/>
  <c r="C38" i="19"/>
  <c r="A38" i="19"/>
  <c r="I37" i="19"/>
  <c r="H37" i="19"/>
  <c r="G37" i="19"/>
  <c r="F37" i="19"/>
  <c r="E37" i="19"/>
  <c r="D37" i="19"/>
  <c r="C37" i="19"/>
  <c r="A37" i="19"/>
  <c r="I36" i="19"/>
  <c r="H36" i="19"/>
  <c r="G36" i="19"/>
  <c r="F36" i="19"/>
  <c r="E36" i="19"/>
  <c r="D36" i="19"/>
  <c r="C36" i="19"/>
  <c r="A36" i="19"/>
  <c r="I35" i="19"/>
  <c r="H35" i="19"/>
  <c r="G35" i="19"/>
  <c r="F35" i="19"/>
  <c r="E35" i="19"/>
  <c r="D35" i="19"/>
  <c r="C35" i="19"/>
  <c r="A35" i="19"/>
  <c r="I34" i="19"/>
  <c r="H34" i="19"/>
  <c r="G34" i="19"/>
  <c r="F34" i="19"/>
  <c r="E34" i="19"/>
  <c r="D34" i="19"/>
  <c r="C34" i="19"/>
  <c r="A34" i="19"/>
  <c r="I33" i="19"/>
  <c r="H33" i="19"/>
  <c r="G33" i="19"/>
  <c r="F33" i="19"/>
  <c r="E33" i="19"/>
  <c r="D33" i="19"/>
  <c r="C33" i="19"/>
  <c r="A33" i="19"/>
  <c r="I32" i="19"/>
  <c r="H32" i="19"/>
  <c r="G32" i="19"/>
  <c r="F32" i="19"/>
  <c r="E32" i="19"/>
  <c r="D32" i="19"/>
  <c r="C32" i="19"/>
  <c r="A32" i="19"/>
  <c r="I31" i="19"/>
  <c r="H31" i="19"/>
  <c r="G31" i="19"/>
  <c r="F31" i="19"/>
  <c r="E31" i="19"/>
  <c r="D31" i="19"/>
  <c r="C31" i="19"/>
  <c r="A31" i="19"/>
  <c r="I30" i="19"/>
  <c r="H30" i="19"/>
  <c r="G30" i="19"/>
  <c r="F30" i="19"/>
  <c r="E30" i="19"/>
  <c r="D30" i="19"/>
  <c r="C30" i="19"/>
  <c r="A30" i="19"/>
  <c r="I29" i="19"/>
  <c r="H29" i="19"/>
  <c r="G29" i="19"/>
  <c r="F29" i="19"/>
  <c r="E29" i="19"/>
  <c r="D29" i="19"/>
  <c r="C29" i="19"/>
  <c r="A29" i="19"/>
  <c r="I28" i="19"/>
  <c r="H28" i="19"/>
  <c r="G28" i="19"/>
  <c r="F28" i="19"/>
  <c r="E28" i="19"/>
  <c r="D28" i="19"/>
  <c r="C28" i="19"/>
  <c r="A28" i="19"/>
  <c r="I27" i="19"/>
  <c r="H27" i="19"/>
  <c r="G27" i="19"/>
  <c r="F27" i="19"/>
  <c r="E27" i="19"/>
  <c r="D27" i="19"/>
  <c r="C27" i="19"/>
  <c r="A27" i="19"/>
  <c r="I26" i="19"/>
  <c r="H26" i="19"/>
  <c r="G26" i="19"/>
  <c r="F26" i="19"/>
  <c r="E26" i="19"/>
  <c r="D26" i="19"/>
  <c r="C26" i="19"/>
  <c r="A26" i="19"/>
  <c r="I25" i="19"/>
  <c r="H25" i="19"/>
  <c r="G25" i="19"/>
  <c r="F25" i="19"/>
  <c r="E25" i="19"/>
  <c r="D25" i="19"/>
  <c r="C25" i="19"/>
  <c r="A25" i="19"/>
  <c r="I24" i="19"/>
  <c r="H24" i="19"/>
  <c r="G24" i="19"/>
  <c r="F24" i="19"/>
  <c r="E24" i="19"/>
  <c r="D24" i="19"/>
  <c r="C24" i="19"/>
  <c r="B24" i="19"/>
  <c r="A24" i="19"/>
  <c r="I23" i="19"/>
  <c r="H23" i="19"/>
  <c r="G23" i="19"/>
  <c r="F23" i="19"/>
  <c r="E23" i="19"/>
  <c r="D23" i="19"/>
  <c r="C23" i="19"/>
  <c r="B23" i="19"/>
  <c r="A23" i="19"/>
  <c r="I22" i="19"/>
  <c r="H22" i="19"/>
  <c r="G22" i="19"/>
  <c r="F22" i="19"/>
  <c r="E22" i="19"/>
  <c r="D22" i="19"/>
  <c r="C22" i="19"/>
  <c r="A22" i="19"/>
  <c r="I21" i="19"/>
  <c r="H21" i="19"/>
  <c r="G21" i="19"/>
  <c r="F21" i="19"/>
  <c r="E21" i="19"/>
  <c r="D21" i="19"/>
  <c r="C21" i="19"/>
  <c r="A21" i="19"/>
  <c r="I19" i="19"/>
  <c r="H19" i="19"/>
  <c r="G19" i="19"/>
  <c r="F19" i="19"/>
  <c r="E19" i="19"/>
  <c r="D19" i="19"/>
  <c r="C19" i="19"/>
  <c r="B19" i="19"/>
  <c r="A19" i="19"/>
  <c r="I17" i="19"/>
  <c r="H17" i="19"/>
  <c r="G17" i="19"/>
  <c r="F17" i="19"/>
  <c r="E17" i="19"/>
  <c r="D17" i="19"/>
  <c r="C17" i="19"/>
  <c r="A17" i="19"/>
  <c r="I47" i="19"/>
  <c r="G47" i="19"/>
  <c r="F47" i="19"/>
  <c r="E47" i="19"/>
  <c r="D47" i="19"/>
  <c r="C47" i="19"/>
  <c r="A47" i="19"/>
  <c r="I16" i="19"/>
  <c r="H16" i="19"/>
  <c r="G16" i="19"/>
  <c r="F16" i="19"/>
  <c r="E16" i="19"/>
  <c r="D16" i="19"/>
  <c r="C16" i="19"/>
  <c r="A16" i="19"/>
  <c r="I15" i="19"/>
  <c r="H15" i="19"/>
  <c r="G15" i="19"/>
  <c r="F15" i="19"/>
  <c r="E15" i="19"/>
  <c r="D15" i="19"/>
  <c r="C15" i="19"/>
  <c r="A15" i="19"/>
  <c r="I14" i="19"/>
  <c r="H14" i="19"/>
  <c r="G14" i="19"/>
  <c r="F14" i="19"/>
  <c r="E14" i="19"/>
  <c r="D14" i="19"/>
  <c r="C14" i="19"/>
  <c r="A14" i="19"/>
  <c r="I13" i="19"/>
  <c r="H13" i="19"/>
  <c r="G13" i="19"/>
  <c r="F13" i="19"/>
  <c r="E13" i="19"/>
  <c r="D13" i="19"/>
  <c r="C13" i="19"/>
  <c r="A13" i="19"/>
  <c r="I12" i="19"/>
  <c r="H12" i="19"/>
  <c r="G12" i="19"/>
  <c r="F12" i="19"/>
  <c r="E12" i="19"/>
  <c r="D12" i="19"/>
  <c r="C12" i="19"/>
  <c r="A12" i="19"/>
  <c r="I11" i="19"/>
  <c r="H11" i="19"/>
  <c r="G11" i="19"/>
  <c r="F11" i="19"/>
  <c r="E11" i="19"/>
  <c r="D11" i="19"/>
  <c r="C11" i="19"/>
  <c r="A11" i="19"/>
  <c r="I10" i="19"/>
  <c r="H10" i="19"/>
  <c r="G10" i="19"/>
  <c r="F10" i="19"/>
  <c r="E10" i="19"/>
  <c r="D10" i="19"/>
  <c r="C10" i="19"/>
  <c r="A10" i="19"/>
  <c r="I9" i="19"/>
  <c r="H9" i="19"/>
  <c r="G9" i="19"/>
  <c r="F9" i="19"/>
  <c r="E9" i="19"/>
  <c r="D9" i="19"/>
  <c r="C9" i="19"/>
  <c r="A9" i="19"/>
  <c r="I8" i="19"/>
  <c r="H8" i="19"/>
  <c r="G8" i="19"/>
  <c r="F8" i="19"/>
  <c r="E8" i="19"/>
  <c r="D8" i="19"/>
  <c r="C8" i="19"/>
  <c r="A8" i="19"/>
  <c r="I7" i="19"/>
  <c r="H7" i="19"/>
  <c r="G7" i="19"/>
  <c r="F7" i="19"/>
  <c r="E7" i="19"/>
  <c r="D7" i="19"/>
  <c r="C7" i="19"/>
  <c r="A7" i="19"/>
  <c r="I6" i="19"/>
  <c r="H6" i="19"/>
  <c r="G6" i="19"/>
  <c r="F6" i="19"/>
  <c r="E6" i="19"/>
  <c r="D6" i="19"/>
  <c r="C6" i="19"/>
  <c r="A6" i="19"/>
  <c r="I5" i="19"/>
  <c r="H5" i="19"/>
  <c r="G5" i="19"/>
  <c r="F5" i="19"/>
  <c r="E5" i="19"/>
  <c r="D5" i="19"/>
  <c r="C5" i="19"/>
  <c r="A5" i="19"/>
  <c r="I4" i="19"/>
  <c r="H4" i="19"/>
  <c r="G4" i="19"/>
  <c r="F4" i="19"/>
  <c r="E4" i="19"/>
  <c r="D4" i="19"/>
  <c r="C4" i="19"/>
  <c r="A4" i="19"/>
  <c r="I3" i="19"/>
  <c r="H3" i="19"/>
  <c r="G3" i="19"/>
  <c r="F3" i="19"/>
  <c r="E3" i="19"/>
  <c r="D3" i="19"/>
  <c r="C3" i="19"/>
  <c r="A3" i="19"/>
  <c r="I1" i="19"/>
  <c r="G1" i="19"/>
  <c r="F1" i="19"/>
  <c r="E1" i="19"/>
  <c r="D1" i="19"/>
  <c r="C1" i="19"/>
  <c r="B1" i="19"/>
  <c r="I17" i="18"/>
  <c r="H17" i="18"/>
  <c r="G17" i="18"/>
  <c r="F17" i="18"/>
  <c r="E17" i="18"/>
  <c r="D17" i="18"/>
  <c r="C17" i="18"/>
  <c r="B17" i="18"/>
  <c r="A17" i="18"/>
  <c r="I16" i="18"/>
  <c r="H16" i="18"/>
  <c r="G16" i="18"/>
  <c r="F16" i="18"/>
  <c r="E16" i="18"/>
  <c r="D16" i="18"/>
  <c r="C16" i="18"/>
  <c r="A16" i="18"/>
  <c r="I15" i="18"/>
  <c r="H15" i="18"/>
  <c r="G15" i="18"/>
  <c r="F15" i="18"/>
  <c r="E15" i="18"/>
  <c r="D15" i="18"/>
  <c r="C15" i="18"/>
  <c r="A15" i="18"/>
  <c r="I14" i="18"/>
  <c r="H14" i="18"/>
  <c r="G14" i="18"/>
  <c r="A14" i="18"/>
  <c r="I12" i="18"/>
  <c r="H12" i="18"/>
  <c r="G12" i="18"/>
  <c r="F12" i="18"/>
  <c r="E12" i="18"/>
  <c r="D12" i="18"/>
  <c r="C12" i="18"/>
  <c r="B12" i="18"/>
  <c r="A12" i="18"/>
  <c r="I10" i="18"/>
  <c r="H10" i="18"/>
  <c r="G10" i="18"/>
  <c r="F10" i="18"/>
  <c r="E10" i="18"/>
  <c r="D10" i="18"/>
  <c r="C10" i="18"/>
  <c r="B10" i="18"/>
  <c r="A10" i="18"/>
  <c r="I9" i="18"/>
  <c r="H9" i="18"/>
  <c r="G9" i="18"/>
  <c r="F9" i="18"/>
  <c r="E9" i="18"/>
  <c r="D9" i="18"/>
  <c r="C9" i="18"/>
  <c r="A9" i="18"/>
  <c r="I8" i="18"/>
  <c r="H8" i="18"/>
  <c r="G8" i="18"/>
  <c r="F8" i="18"/>
  <c r="E8" i="18"/>
  <c r="D8" i="18"/>
  <c r="C8" i="18"/>
  <c r="A8" i="18"/>
  <c r="I7" i="18"/>
  <c r="H7" i="18"/>
  <c r="G7" i="18"/>
  <c r="F7" i="18"/>
  <c r="E7" i="18"/>
  <c r="D7" i="18"/>
  <c r="C7" i="18"/>
  <c r="A7" i="18"/>
  <c r="I6" i="18"/>
  <c r="H6" i="18"/>
  <c r="G6" i="18"/>
  <c r="F6" i="18"/>
  <c r="E6" i="18"/>
  <c r="D6" i="18"/>
  <c r="C6" i="18"/>
  <c r="A6" i="18"/>
  <c r="I5" i="18"/>
  <c r="H5" i="18"/>
  <c r="G5" i="18"/>
  <c r="F5" i="18"/>
  <c r="E5" i="18"/>
  <c r="D5" i="18"/>
  <c r="C5" i="18"/>
  <c r="A5" i="18"/>
  <c r="I4" i="18"/>
  <c r="H4" i="18"/>
  <c r="G4" i="18"/>
  <c r="F4" i="18"/>
  <c r="E4" i="18"/>
  <c r="D4" i="18"/>
  <c r="C4" i="18"/>
  <c r="A4" i="18"/>
  <c r="I3" i="18"/>
  <c r="H3" i="18"/>
  <c r="G3" i="18"/>
  <c r="F3" i="18"/>
  <c r="E3" i="18"/>
  <c r="D3" i="18"/>
  <c r="C3" i="18"/>
  <c r="A3" i="18"/>
  <c r="I1" i="18"/>
  <c r="G1" i="18"/>
  <c r="F1" i="18"/>
  <c r="E1" i="18"/>
  <c r="D1" i="18"/>
  <c r="C1" i="18"/>
  <c r="B1" i="18"/>
  <c r="I16" i="17"/>
  <c r="H16" i="17"/>
  <c r="G16" i="17"/>
  <c r="F16" i="17"/>
  <c r="E16" i="17"/>
  <c r="D16" i="17"/>
  <c r="C16" i="17"/>
  <c r="B16" i="17"/>
  <c r="A16" i="17"/>
  <c r="I15" i="17"/>
  <c r="H15" i="17"/>
  <c r="G15" i="17"/>
  <c r="F15" i="17"/>
  <c r="E15" i="17"/>
  <c r="D15" i="17"/>
  <c r="C15" i="17"/>
  <c r="A15" i="17"/>
  <c r="I14" i="17"/>
  <c r="H14" i="17"/>
  <c r="G14" i="17"/>
  <c r="F14" i="17"/>
  <c r="E14" i="17"/>
  <c r="D14" i="17"/>
  <c r="C14" i="17"/>
  <c r="B14" i="17"/>
  <c r="A14" i="17"/>
  <c r="I12" i="17"/>
  <c r="H12" i="17"/>
  <c r="G12" i="17"/>
  <c r="F12" i="17"/>
  <c r="E12" i="17"/>
  <c r="D12" i="17"/>
  <c r="C12" i="17"/>
  <c r="B12" i="17"/>
  <c r="A12" i="17"/>
  <c r="I11" i="17"/>
  <c r="H11" i="17"/>
  <c r="G11" i="17"/>
  <c r="F11" i="17"/>
  <c r="E11" i="17"/>
  <c r="D11" i="17"/>
  <c r="C11" i="17"/>
  <c r="A11" i="17"/>
  <c r="I9" i="17"/>
  <c r="H9" i="17"/>
  <c r="G9" i="17"/>
  <c r="F9" i="17"/>
  <c r="E9" i="17"/>
  <c r="D9" i="17"/>
  <c r="C9" i="17"/>
  <c r="A9" i="17"/>
  <c r="I8" i="17"/>
  <c r="H8" i="17"/>
  <c r="G8" i="17"/>
  <c r="F8" i="17"/>
  <c r="E8" i="17"/>
  <c r="D8" i="17"/>
  <c r="C8" i="17"/>
  <c r="A8" i="17"/>
  <c r="I7" i="17"/>
  <c r="H7" i="17"/>
  <c r="G7" i="17"/>
  <c r="F7" i="17"/>
  <c r="E7" i="17"/>
  <c r="D7" i="17"/>
  <c r="C7" i="17"/>
  <c r="A7" i="17"/>
  <c r="I6" i="17"/>
  <c r="H6" i="17"/>
  <c r="G6" i="17"/>
  <c r="F6" i="17"/>
  <c r="E6" i="17"/>
  <c r="D6" i="17"/>
  <c r="C6" i="17"/>
  <c r="A6" i="17"/>
  <c r="I5" i="17"/>
  <c r="H5" i="17"/>
  <c r="G5" i="17"/>
  <c r="F5" i="17"/>
  <c r="E5" i="17"/>
  <c r="D5" i="17"/>
  <c r="C5" i="17"/>
  <c r="A5" i="17"/>
  <c r="I4" i="17"/>
  <c r="H4" i="17"/>
  <c r="G4" i="17"/>
  <c r="F4" i="17"/>
  <c r="E4" i="17"/>
  <c r="D4" i="17"/>
  <c r="C4" i="17"/>
  <c r="A4" i="17"/>
  <c r="I3" i="17"/>
  <c r="H3" i="17"/>
  <c r="G3" i="17"/>
  <c r="F3" i="17"/>
  <c r="E3" i="17"/>
  <c r="D3" i="17"/>
  <c r="C3" i="17"/>
  <c r="A3" i="17"/>
  <c r="I1" i="17"/>
  <c r="G1" i="17"/>
  <c r="F1" i="17"/>
  <c r="E1" i="17"/>
  <c r="D1" i="17"/>
  <c r="C1" i="17"/>
  <c r="B1" i="17"/>
  <c r="I22" i="16"/>
  <c r="H22" i="16"/>
  <c r="G22" i="16"/>
  <c r="F22" i="16"/>
  <c r="E22" i="16"/>
  <c r="D22" i="16"/>
  <c r="C22" i="16"/>
  <c r="B22" i="16"/>
  <c r="A22" i="16"/>
  <c r="I21" i="16"/>
  <c r="H21" i="16"/>
  <c r="G21" i="16"/>
  <c r="F21" i="16"/>
  <c r="E21" i="16"/>
  <c r="D21" i="16"/>
  <c r="C21" i="16"/>
  <c r="B21" i="16"/>
  <c r="A21" i="16"/>
  <c r="I20" i="16"/>
  <c r="H20" i="16"/>
  <c r="G20" i="16"/>
  <c r="F20" i="16"/>
  <c r="E20" i="16"/>
  <c r="D20" i="16"/>
  <c r="C20" i="16"/>
  <c r="A20" i="16"/>
  <c r="I19" i="16"/>
  <c r="H19" i="16"/>
  <c r="G19" i="16"/>
  <c r="F19" i="16"/>
  <c r="E19" i="16"/>
  <c r="D19" i="16"/>
  <c r="C19" i="16"/>
  <c r="A19" i="16"/>
  <c r="I18" i="16"/>
  <c r="H18" i="16"/>
  <c r="G18" i="16"/>
  <c r="F18" i="16"/>
  <c r="E18" i="16"/>
  <c r="D18" i="16"/>
  <c r="C18" i="16"/>
  <c r="A18" i="16"/>
  <c r="I17" i="16"/>
  <c r="H17" i="16"/>
  <c r="G17" i="16"/>
  <c r="F17" i="16"/>
  <c r="E17" i="16"/>
  <c r="D17" i="16"/>
  <c r="C17" i="16"/>
  <c r="A17" i="16"/>
  <c r="I16" i="16"/>
  <c r="H16" i="16"/>
  <c r="G16" i="16"/>
  <c r="F16" i="16"/>
  <c r="E16" i="16"/>
  <c r="D16" i="16"/>
  <c r="C16" i="16"/>
  <c r="A16" i="16"/>
  <c r="I15" i="16"/>
  <c r="H15" i="16"/>
  <c r="G15" i="16"/>
  <c r="F15" i="16"/>
  <c r="E15" i="16"/>
  <c r="D15" i="16"/>
  <c r="C15" i="16"/>
  <c r="A15" i="16"/>
  <c r="I13" i="16"/>
  <c r="H13" i="16"/>
  <c r="G13" i="16"/>
  <c r="F13" i="16"/>
  <c r="E13" i="16"/>
  <c r="D13" i="16"/>
  <c r="C13" i="16"/>
  <c r="A13" i="16"/>
  <c r="I11" i="16"/>
  <c r="H11" i="16"/>
  <c r="G11" i="16"/>
  <c r="F11" i="16"/>
  <c r="E11" i="16"/>
  <c r="D11" i="16"/>
  <c r="C11" i="16"/>
  <c r="A11" i="16"/>
  <c r="I10" i="16"/>
  <c r="H10" i="16"/>
  <c r="G10" i="16"/>
  <c r="F10" i="16"/>
  <c r="E10" i="16"/>
  <c r="D10" i="16"/>
  <c r="C10" i="16"/>
  <c r="A10" i="16"/>
  <c r="I9" i="16"/>
  <c r="H9" i="16"/>
  <c r="G9" i="16"/>
  <c r="F9" i="16"/>
  <c r="E9" i="16"/>
  <c r="D9" i="16"/>
  <c r="C9" i="16"/>
  <c r="A9" i="16"/>
  <c r="I8" i="16"/>
  <c r="H8" i="16"/>
  <c r="G8" i="16"/>
  <c r="F8" i="16"/>
  <c r="E8" i="16"/>
  <c r="D8" i="16"/>
  <c r="C8" i="16"/>
  <c r="A8" i="16"/>
  <c r="I7" i="16"/>
  <c r="H7" i="16"/>
  <c r="G7" i="16"/>
  <c r="F7" i="16"/>
  <c r="E7" i="16"/>
  <c r="D7" i="16"/>
  <c r="C7" i="16"/>
  <c r="A7" i="16"/>
  <c r="I6" i="16"/>
  <c r="H6" i="16"/>
  <c r="G6" i="16"/>
  <c r="F6" i="16"/>
  <c r="E6" i="16"/>
  <c r="D6" i="16"/>
  <c r="C6" i="16"/>
  <c r="A6" i="16"/>
  <c r="I5" i="16"/>
  <c r="H5" i="16"/>
  <c r="G5" i="16"/>
  <c r="F5" i="16"/>
  <c r="E5" i="16"/>
  <c r="D5" i="16"/>
  <c r="C5" i="16"/>
  <c r="A5" i="16"/>
  <c r="I4" i="16"/>
  <c r="H4" i="16"/>
  <c r="G4" i="16"/>
  <c r="F4" i="16"/>
  <c r="E4" i="16"/>
  <c r="D4" i="16"/>
  <c r="C4" i="16"/>
  <c r="A4" i="16"/>
  <c r="I3" i="16"/>
  <c r="H3" i="16"/>
  <c r="G3" i="16"/>
  <c r="F3" i="16"/>
  <c r="E3" i="16"/>
  <c r="D3" i="16"/>
  <c r="C3" i="16"/>
  <c r="A3" i="16"/>
  <c r="I1" i="16"/>
  <c r="G1" i="16"/>
  <c r="F1" i="16"/>
  <c r="E1" i="16"/>
  <c r="D1" i="16"/>
  <c r="C1" i="16"/>
  <c r="B1" i="16"/>
  <c r="I18" i="15"/>
  <c r="H18" i="15"/>
  <c r="G18" i="15"/>
  <c r="F18" i="15"/>
  <c r="E18" i="15"/>
  <c r="D18" i="15"/>
  <c r="C18" i="15"/>
  <c r="B18" i="15"/>
  <c r="A18" i="15"/>
  <c r="I17" i="15"/>
  <c r="H17" i="15"/>
  <c r="G17" i="15"/>
  <c r="F17" i="15"/>
  <c r="E17" i="15"/>
  <c r="D17" i="15"/>
  <c r="C17" i="15"/>
  <c r="A17" i="15"/>
  <c r="I16" i="15"/>
  <c r="H16" i="15"/>
  <c r="G16" i="15"/>
  <c r="F16" i="15"/>
  <c r="E16" i="15"/>
  <c r="D16" i="15"/>
  <c r="C16" i="15"/>
  <c r="A16" i="15"/>
  <c r="I15" i="15"/>
  <c r="H15" i="15"/>
  <c r="G15" i="15"/>
  <c r="F15" i="15"/>
  <c r="E15" i="15"/>
  <c r="D15" i="15"/>
  <c r="C15" i="15"/>
  <c r="A15" i="15"/>
  <c r="I14" i="15"/>
  <c r="H14" i="15"/>
  <c r="G14" i="15"/>
  <c r="F14" i="15"/>
  <c r="E14" i="15"/>
  <c r="D14" i="15"/>
  <c r="C14" i="15"/>
  <c r="A14" i="15"/>
  <c r="I13" i="15"/>
  <c r="H13" i="15"/>
  <c r="G13" i="15"/>
  <c r="F13" i="15"/>
  <c r="E13" i="15"/>
  <c r="D13" i="15"/>
  <c r="C13" i="15"/>
  <c r="A13" i="15"/>
  <c r="I11" i="15"/>
  <c r="H11" i="15"/>
  <c r="G11" i="15"/>
  <c r="F11" i="15"/>
  <c r="E11" i="15"/>
  <c r="D11" i="15"/>
  <c r="C11" i="15"/>
  <c r="A11" i="15"/>
  <c r="I9" i="15"/>
  <c r="H9" i="15"/>
  <c r="G9" i="15"/>
  <c r="F9" i="15"/>
  <c r="E9" i="15"/>
  <c r="D9" i="15"/>
  <c r="C9" i="15"/>
  <c r="A9" i="15"/>
  <c r="I8" i="15"/>
  <c r="H8" i="15"/>
  <c r="G8" i="15"/>
  <c r="F8" i="15"/>
  <c r="E8" i="15"/>
  <c r="D8" i="15"/>
  <c r="C8" i="15"/>
  <c r="A8" i="15"/>
  <c r="I7" i="15"/>
  <c r="H7" i="15"/>
  <c r="G7" i="15"/>
  <c r="F7" i="15"/>
  <c r="E7" i="15"/>
  <c r="D7" i="15"/>
  <c r="C7" i="15"/>
  <c r="A7" i="15"/>
  <c r="I6" i="15"/>
  <c r="H6" i="15"/>
  <c r="G6" i="15"/>
  <c r="F6" i="15"/>
  <c r="E6" i="15"/>
  <c r="D6" i="15"/>
  <c r="C6" i="15"/>
  <c r="A6" i="15"/>
  <c r="I5" i="15"/>
  <c r="H5" i="15"/>
  <c r="G5" i="15"/>
  <c r="F5" i="15"/>
  <c r="E5" i="15"/>
  <c r="D5" i="15"/>
  <c r="C5" i="15"/>
  <c r="A5" i="15"/>
  <c r="I4" i="15"/>
  <c r="H4" i="15"/>
  <c r="G4" i="15"/>
  <c r="F4" i="15"/>
  <c r="E4" i="15"/>
  <c r="D4" i="15"/>
  <c r="C4" i="15"/>
  <c r="A4" i="15"/>
  <c r="I3" i="15"/>
  <c r="H3" i="15"/>
  <c r="G3" i="15"/>
  <c r="F3" i="15"/>
  <c r="E3" i="15"/>
  <c r="D3" i="15"/>
  <c r="C3" i="15"/>
  <c r="A3" i="15"/>
  <c r="I1" i="15"/>
  <c r="G1" i="15"/>
  <c r="F1" i="15"/>
  <c r="E1" i="15"/>
  <c r="D1" i="15"/>
  <c r="C1" i="15"/>
  <c r="B1" i="15"/>
  <c r="I20" i="14"/>
  <c r="H20" i="14"/>
  <c r="G20" i="14"/>
  <c r="F20" i="14"/>
  <c r="E20" i="14"/>
  <c r="D20" i="14"/>
  <c r="C20" i="14"/>
  <c r="B20" i="14"/>
  <c r="A20" i="14"/>
  <c r="I19" i="14"/>
  <c r="H19" i="14"/>
  <c r="G19" i="14"/>
  <c r="F19" i="14"/>
  <c r="E19" i="14"/>
  <c r="D19" i="14"/>
  <c r="C19" i="14"/>
  <c r="B19" i="14"/>
  <c r="A19" i="14"/>
  <c r="I17" i="14"/>
  <c r="H17" i="14"/>
  <c r="G17" i="14"/>
  <c r="F17" i="14"/>
  <c r="E17" i="14"/>
  <c r="D17" i="14"/>
  <c r="C17" i="14"/>
  <c r="A17" i="14"/>
  <c r="I16" i="14"/>
  <c r="H16" i="14"/>
  <c r="G16" i="14"/>
  <c r="F16" i="14"/>
  <c r="E16" i="14"/>
  <c r="D16" i="14"/>
  <c r="C16" i="14"/>
  <c r="A16" i="14"/>
  <c r="I15" i="14"/>
  <c r="H15" i="14"/>
  <c r="G15" i="14"/>
  <c r="F15" i="14"/>
  <c r="E15" i="14"/>
  <c r="D15" i="14"/>
  <c r="C15" i="14"/>
  <c r="A15" i="14"/>
  <c r="I14" i="14"/>
  <c r="H14" i="14"/>
  <c r="G14" i="14"/>
  <c r="F14" i="14"/>
  <c r="E14" i="14"/>
  <c r="D14" i="14"/>
  <c r="C14" i="14"/>
  <c r="A14" i="14"/>
  <c r="I13" i="14"/>
  <c r="H13" i="14"/>
  <c r="G13" i="14"/>
  <c r="F13" i="14"/>
  <c r="E13" i="14"/>
  <c r="D13" i="14"/>
  <c r="C13" i="14"/>
  <c r="A13" i="14"/>
  <c r="I11" i="14"/>
  <c r="H11" i="14"/>
  <c r="G11" i="14"/>
  <c r="F11" i="14"/>
  <c r="E11" i="14"/>
  <c r="D11" i="14"/>
  <c r="C11" i="14"/>
  <c r="B11" i="14"/>
  <c r="A11" i="14"/>
  <c r="I10" i="14"/>
  <c r="H10" i="14"/>
  <c r="G10" i="14"/>
  <c r="F10" i="14"/>
  <c r="E10" i="14"/>
  <c r="D10" i="14"/>
  <c r="C10" i="14"/>
  <c r="B10" i="14"/>
  <c r="A10" i="14"/>
  <c r="I8" i="14"/>
  <c r="H8" i="14"/>
  <c r="G8" i="14"/>
  <c r="F8" i="14"/>
  <c r="E8" i="14"/>
  <c r="D8" i="14"/>
  <c r="C8" i="14"/>
  <c r="A8" i="14"/>
  <c r="I7" i="14"/>
  <c r="H7" i="14"/>
  <c r="G7" i="14"/>
  <c r="F7" i="14"/>
  <c r="E7" i="14"/>
  <c r="D7" i="14"/>
  <c r="C7" i="14"/>
  <c r="A7" i="14"/>
  <c r="I6" i="14"/>
  <c r="H6" i="14"/>
  <c r="G6" i="14"/>
  <c r="F6" i="14"/>
  <c r="E6" i="14"/>
  <c r="D6" i="14"/>
  <c r="C6" i="14"/>
  <c r="A6" i="14"/>
  <c r="I5" i="14"/>
  <c r="H5" i="14"/>
  <c r="G5" i="14"/>
  <c r="F5" i="14"/>
  <c r="E5" i="14"/>
  <c r="D5" i="14"/>
  <c r="C5" i="14"/>
  <c r="A5" i="14"/>
  <c r="I4" i="14"/>
  <c r="H4" i="14"/>
  <c r="G4" i="14"/>
  <c r="F4" i="14"/>
  <c r="E4" i="14"/>
  <c r="D4" i="14"/>
  <c r="C4" i="14"/>
  <c r="A4" i="14"/>
  <c r="I3" i="14"/>
  <c r="H3" i="14"/>
  <c r="G3" i="14"/>
  <c r="F3" i="14"/>
  <c r="E3" i="14"/>
  <c r="D3" i="14"/>
  <c r="C3" i="14"/>
  <c r="A3" i="14"/>
  <c r="I1" i="14"/>
  <c r="G1" i="14"/>
  <c r="F1" i="14"/>
  <c r="E1" i="14"/>
  <c r="D1" i="14"/>
  <c r="C1" i="14"/>
  <c r="B1" i="14"/>
  <c r="I7" i="13"/>
  <c r="H7" i="13"/>
  <c r="G7" i="13"/>
  <c r="F7" i="13"/>
  <c r="E7" i="13"/>
  <c r="D7" i="13"/>
  <c r="C7" i="13"/>
  <c r="B7" i="13"/>
  <c r="A7" i="13"/>
  <c r="I6" i="13"/>
  <c r="H6" i="13"/>
  <c r="G6" i="13"/>
  <c r="F6" i="13"/>
  <c r="E6" i="13"/>
  <c r="D6" i="13"/>
  <c r="C6" i="13"/>
  <c r="A6" i="13"/>
  <c r="I4" i="13"/>
  <c r="H4" i="13"/>
  <c r="G4" i="13"/>
  <c r="F4" i="13"/>
  <c r="E4" i="13"/>
  <c r="D4" i="13"/>
  <c r="C4" i="13"/>
  <c r="A4" i="13"/>
  <c r="I3" i="13"/>
  <c r="H3" i="13"/>
  <c r="G3" i="13"/>
  <c r="F3" i="13"/>
  <c r="E3" i="13"/>
  <c r="D3" i="13"/>
  <c r="C3" i="13"/>
  <c r="A3" i="13"/>
  <c r="I1" i="13"/>
  <c r="G1" i="13"/>
  <c r="F1" i="13"/>
  <c r="E1" i="13"/>
  <c r="D1" i="13"/>
  <c r="C1" i="13"/>
  <c r="B1" i="13"/>
  <c r="I13" i="12"/>
  <c r="H13" i="12"/>
  <c r="G13" i="12"/>
  <c r="F13" i="12"/>
  <c r="E13" i="12"/>
  <c r="D13" i="12"/>
  <c r="C13" i="12"/>
  <c r="I12" i="12"/>
  <c r="H12" i="12"/>
  <c r="G12" i="12"/>
  <c r="F12" i="12"/>
  <c r="E12" i="12"/>
  <c r="D12" i="12"/>
  <c r="C12" i="12"/>
  <c r="I11" i="12"/>
  <c r="H11" i="12"/>
  <c r="G11" i="12"/>
  <c r="F11" i="12"/>
  <c r="E11" i="12"/>
  <c r="D11" i="12"/>
  <c r="C11" i="12"/>
  <c r="I10" i="12"/>
  <c r="H10" i="12"/>
  <c r="G10" i="12"/>
  <c r="F10" i="12"/>
  <c r="E10" i="12"/>
  <c r="D10" i="12"/>
  <c r="C10" i="12"/>
  <c r="I9" i="12"/>
  <c r="H9" i="12"/>
  <c r="G9" i="12"/>
  <c r="F9" i="12"/>
  <c r="E9" i="12"/>
  <c r="D9" i="12"/>
  <c r="C9" i="12"/>
  <c r="B9" i="12"/>
  <c r="I8" i="12"/>
  <c r="H8" i="12"/>
  <c r="G8" i="12"/>
  <c r="F8" i="12"/>
  <c r="E8" i="12"/>
  <c r="D8" i="12"/>
  <c r="C8" i="12"/>
  <c r="I6" i="12"/>
  <c r="H6" i="12"/>
  <c r="G6" i="12"/>
  <c r="F6" i="12"/>
  <c r="E6" i="12"/>
  <c r="D6" i="12"/>
  <c r="C6" i="12"/>
  <c r="I4" i="12"/>
  <c r="H4" i="12"/>
  <c r="G4" i="12"/>
  <c r="F4" i="12"/>
  <c r="E4" i="12"/>
  <c r="D4" i="12"/>
  <c r="C4" i="12"/>
  <c r="I3" i="12"/>
  <c r="H3" i="12"/>
  <c r="G3" i="12"/>
  <c r="F3" i="12"/>
  <c r="E3" i="12"/>
  <c r="D3" i="12"/>
  <c r="C3" i="12"/>
  <c r="I1" i="12"/>
  <c r="G1" i="12"/>
  <c r="F1" i="12"/>
  <c r="E1" i="12"/>
  <c r="D1" i="12"/>
  <c r="C1" i="12"/>
  <c r="B1" i="12"/>
  <c r="I22" i="11"/>
  <c r="H22" i="11"/>
  <c r="G22" i="11"/>
  <c r="F22" i="11"/>
  <c r="E22" i="11"/>
  <c r="D22" i="11"/>
  <c r="C22" i="11"/>
  <c r="B22" i="11"/>
  <c r="A22" i="11"/>
  <c r="I21" i="11"/>
  <c r="H21" i="11"/>
  <c r="G21" i="11"/>
  <c r="F21" i="11"/>
  <c r="E21" i="11"/>
  <c r="D21" i="11"/>
  <c r="C21" i="11"/>
  <c r="A21" i="11"/>
  <c r="I20" i="11"/>
  <c r="H20" i="11"/>
  <c r="G20" i="11"/>
  <c r="F20" i="11"/>
  <c r="E20" i="11"/>
  <c r="D20" i="11"/>
  <c r="C20" i="11"/>
  <c r="B20" i="11"/>
  <c r="A20" i="11"/>
  <c r="I19" i="11"/>
  <c r="H19" i="11"/>
  <c r="G19" i="11"/>
  <c r="F19" i="11"/>
  <c r="E19" i="11"/>
  <c r="D19" i="11"/>
  <c r="C19" i="11"/>
  <c r="A19" i="11"/>
  <c r="I18" i="11"/>
  <c r="H18" i="11"/>
  <c r="G18" i="11"/>
  <c r="F18" i="11"/>
  <c r="E18" i="11"/>
  <c r="D18" i="11"/>
  <c r="C18" i="11"/>
  <c r="I17" i="11"/>
  <c r="H17" i="11"/>
  <c r="G17" i="11"/>
  <c r="F17" i="11"/>
  <c r="E17" i="11"/>
  <c r="D17" i="11"/>
  <c r="C17" i="11"/>
  <c r="A17" i="11"/>
  <c r="I16" i="11"/>
  <c r="H16" i="11"/>
  <c r="G16" i="11"/>
  <c r="F16" i="11"/>
  <c r="E16" i="11"/>
  <c r="D16" i="11"/>
  <c r="C16" i="11"/>
  <c r="I15" i="11"/>
  <c r="H15" i="11"/>
  <c r="G15" i="11"/>
  <c r="F15" i="11"/>
  <c r="E15" i="11"/>
  <c r="D15" i="11"/>
  <c r="C15" i="11"/>
  <c r="I14" i="11"/>
  <c r="H14" i="11"/>
  <c r="G14" i="11"/>
  <c r="F14" i="11"/>
  <c r="E14" i="11"/>
  <c r="D14" i="11"/>
  <c r="C14" i="11"/>
  <c r="I12" i="11"/>
  <c r="H12" i="11"/>
  <c r="G12" i="11"/>
  <c r="F12" i="11"/>
  <c r="E12" i="11"/>
  <c r="D12" i="11"/>
  <c r="C12" i="11"/>
  <c r="B12" i="11"/>
  <c r="I10" i="11"/>
  <c r="H10" i="11"/>
  <c r="G10" i="11"/>
  <c r="F10" i="11"/>
  <c r="E10" i="11"/>
  <c r="D10" i="11"/>
  <c r="C10" i="11"/>
  <c r="I9" i="11"/>
  <c r="H9" i="11"/>
  <c r="G9" i="11"/>
  <c r="F9" i="11"/>
  <c r="E9" i="11"/>
  <c r="D9" i="11"/>
  <c r="C9" i="11"/>
  <c r="B9" i="11"/>
  <c r="I8" i="11"/>
  <c r="H8" i="11"/>
  <c r="G8" i="11"/>
  <c r="F8" i="11"/>
  <c r="E8" i="11"/>
  <c r="D8" i="11"/>
  <c r="C8" i="11"/>
  <c r="I7" i="11"/>
  <c r="H7" i="11"/>
  <c r="G7" i="11"/>
  <c r="F7" i="11"/>
  <c r="E7" i="11"/>
  <c r="D7" i="11"/>
  <c r="C7" i="11"/>
  <c r="I6" i="11"/>
  <c r="H6" i="11"/>
  <c r="G6" i="11"/>
  <c r="F6" i="11"/>
  <c r="E6" i="11"/>
  <c r="D6" i="11"/>
  <c r="C6" i="11"/>
  <c r="I5" i="11"/>
  <c r="H5" i="11"/>
  <c r="G5" i="11"/>
  <c r="F5" i="11"/>
  <c r="E5" i="11"/>
  <c r="D5" i="11"/>
  <c r="C5" i="11"/>
  <c r="I4" i="11"/>
  <c r="H4" i="11"/>
  <c r="G4" i="11"/>
  <c r="F4" i="11"/>
  <c r="E4" i="11"/>
  <c r="D4" i="11"/>
  <c r="C4" i="11"/>
  <c r="I3" i="11"/>
  <c r="H3" i="11"/>
  <c r="G3" i="11"/>
  <c r="F3" i="11"/>
  <c r="E3" i="11"/>
  <c r="D3" i="11"/>
  <c r="C3" i="11"/>
  <c r="I1" i="11"/>
  <c r="G1" i="11"/>
  <c r="F1" i="11"/>
  <c r="E1" i="11"/>
  <c r="D1" i="11"/>
  <c r="C1" i="11"/>
  <c r="B1" i="11"/>
  <c r="I21" i="10"/>
  <c r="H21" i="10"/>
  <c r="G21" i="10"/>
  <c r="F21" i="10"/>
  <c r="E21" i="10"/>
  <c r="D21" i="10"/>
  <c r="C21" i="10"/>
  <c r="I20" i="10"/>
  <c r="H20" i="10"/>
  <c r="G20" i="10"/>
  <c r="F20" i="10"/>
  <c r="E20" i="10"/>
  <c r="D20" i="10"/>
  <c r="C20" i="10"/>
  <c r="B20" i="10"/>
  <c r="A20" i="10"/>
  <c r="I19" i="10"/>
  <c r="H19" i="10"/>
  <c r="G19" i="10"/>
  <c r="F19" i="10"/>
  <c r="E19" i="10"/>
  <c r="D19" i="10"/>
  <c r="C19" i="10"/>
  <c r="B19" i="10"/>
  <c r="A19" i="10"/>
  <c r="I18" i="10"/>
  <c r="H18" i="10"/>
  <c r="G18" i="10"/>
  <c r="F18" i="10"/>
  <c r="E18" i="10"/>
  <c r="D18" i="10"/>
  <c r="C18" i="10"/>
  <c r="B18" i="10"/>
  <c r="A18" i="10"/>
  <c r="I16" i="10"/>
  <c r="H16" i="10"/>
  <c r="G16" i="10"/>
  <c r="F16" i="10"/>
  <c r="E16" i="10"/>
  <c r="D16" i="10"/>
  <c r="C16" i="10"/>
  <c r="I15" i="10"/>
  <c r="H15" i="10"/>
  <c r="G15" i="10"/>
  <c r="F15" i="10"/>
  <c r="E15" i="10"/>
  <c r="D15" i="10"/>
  <c r="C15" i="10"/>
  <c r="I14" i="10"/>
  <c r="H14" i="10"/>
  <c r="G14" i="10"/>
  <c r="F14" i="10"/>
  <c r="E14" i="10"/>
  <c r="D14" i="10"/>
  <c r="C14" i="10"/>
  <c r="I13" i="10"/>
  <c r="H13" i="10"/>
  <c r="G13" i="10"/>
  <c r="F13" i="10"/>
  <c r="E13" i="10"/>
  <c r="D13" i="10"/>
  <c r="C13" i="10"/>
  <c r="I12" i="10"/>
  <c r="H12" i="10"/>
  <c r="G12" i="10"/>
  <c r="F12" i="10"/>
  <c r="E12" i="10"/>
  <c r="D12" i="10"/>
  <c r="C12" i="10"/>
  <c r="I10" i="10"/>
  <c r="H10" i="10"/>
  <c r="G10" i="10"/>
  <c r="F10" i="10"/>
  <c r="E10" i="10"/>
  <c r="D10" i="10"/>
  <c r="C10" i="10"/>
  <c r="B10" i="10"/>
  <c r="A10" i="10"/>
  <c r="I9" i="10"/>
  <c r="H9" i="10"/>
  <c r="G9" i="10"/>
  <c r="F9" i="10"/>
  <c r="E9" i="10"/>
  <c r="D9" i="10"/>
  <c r="C9" i="10"/>
  <c r="B9" i="10"/>
  <c r="I7" i="10"/>
  <c r="H7" i="10"/>
  <c r="G7" i="10"/>
  <c r="F7" i="10"/>
  <c r="E7" i="10"/>
  <c r="D7" i="10"/>
  <c r="C7" i="10"/>
  <c r="I6" i="10"/>
  <c r="H6" i="10"/>
  <c r="G6" i="10"/>
  <c r="F6" i="10"/>
  <c r="E6" i="10"/>
  <c r="D6" i="10"/>
  <c r="C6" i="10"/>
  <c r="I5" i="10"/>
  <c r="H5" i="10"/>
  <c r="G5" i="10"/>
  <c r="F5" i="10"/>
  <c r="E5" i="10"/>
  <c r="D5" i="10"/>
  <c r="C5" i="10"/>
  <c r="I4" i="10"/>
  <c r="H4" i="10"/>
  <c r="G4" i="10"/>
  <c r="F4" i="10"/>
  <c r="E4" i="10"/>
  <c r="D4" i="10"/>
  <c r="C4" i="10"/>
  <c r="B4" i="10"/>
  <c r="I3" i="10"/>
  <c r="H3" i="10"/>
  <c r="G3" i="10"/>
  <c r="F3" i="10"/>
  <c r="E3" i="10"/>
  <c r="D3" i="10"/>
  <c r="C3" i="10"/>
  <c r="I1" i="10"/>
  <c r="G1" i="10"/>
  <c r="F1" i="10"/>
  <c r="E1" i="10"/>
  <c r="D1" i="10"/>
  <c r="C1" i="10"/>
  <c r="B1" i="10"/>
  <c r="I33" i="9"/>
  <c r="H33" i="9"/>
  <c r="G33" i="9"/>
  <c r="F33" i="9"/>
  <c r="E33" i="9"/>
  <c r="D33" i="9"/>
  <c r="C33" i="9"/>
  <c r="B33" i="9"/>
  <c r="A33" i="9"/>
  <c r="I32" i="9"/>
  <c r="H32" i="9"/>
  <c r="G32" i="9"/>
  <c r="F32" i="9"/>
  <c r="E32" i="9"/>
  <c r="D32" i="9"/>
  <c r="C32" i="9"/>
  <c r="B32" i="9"/>
  <c r="A32" i="9"/>
  <c r="I31" i="9"/>
  <c r="H31" i="9"/>
  <c r="G31" i="9"/>
  <c r="F31" i="9"/>
  <c r="E31" i="9"/>
  <c r="D31" i="9"/>
  <c r="C31" i="9"/>
  <c r="B31" i="9"/>
  <c r="A31" i="9"/>
  <c r="I30" i="9"/>
  <c r="H30" i="9"/>
  <c r="G30" i="9"/>
  <c r="F30" i="9"/>
  <c r="E30" i="9"/>
  <c r="D30" i="9"/>
  <c r="C30" i="9"/>
  <c r="B30" i="9"/>
  <c r="A30" i="9"/>
  <c r="I29" i="9"/>
  <c r="H29" i="9"/>
  <c r="G29" i="9"/>
  <c r="F29" i="9"/>
  <c r="E29" i="9"/>
  <c r="D29" i="9"/>
  <c r="C29" i="9"/>
  <c r="B29" i="9"/>
  <c r="A29" i="9"/>
  <c r="I27" i="9"/>
  <c r="H27" i="9"/>
  <c r="G27" i="9"/>
  <c r="F27" i="9"/>
  <c r="E27" i="9"/>
  <c r="D27" i="9"/>
  <c r="C27" i="9"/>
  <c r="I26" i="9"/>
  <c r="H26" i="9"/>
  <c r="G26" i="9"/>
  <c r="F26" i="9"/>
  <c r="E26" i="9"/>
  <c r="D26" i="9"/>
  <c r="C26" i="9"/>
  <c r="I25" i="9"/>
  <c r="H25" i="9"/>
  <c r="G25" i="9"/>
  <c r="F25" i="9"/>
  <c r="E25" i="9"/>
  <c r="D25" i="9"/>
  <c r="C25" i="9"/>
  <c r="I24" i="9"/>
  <c r="H24" i="9"/>
  <c r="G24" i="9"/>
  <c r="F24" i="9"/>
  <c r="E24" i="9"/>
  <c r="D24" i="9"/>
  <c r="C24" i="9"/>
  <c r="I23" i="9"/>
  <c r="H23" i="9"/>
  <c r="G23" i="9"/>
  <c r="F23" i="9"/>
  <c r="E23" i="9"/>
  <c r="D23" i="9"/>
  <c r="C23" i="9"/>
  <c r="I22" i="9"/>
  <c r="H22" i="9"/>
  <c r="G22" i="9"/>
  <c r="F22" i="9"/>
  <c r="E22" i="9"/>
  <c r="D22" i="9"/>
  <c r="C22" i="9"/>
  <c r="I21" i="9"/>
  <c r="H21" i="9"/>
  <c r="G21" i="9"/>
  <c r="F21" i="9"/>
  <c r="E21" i="9"/>
  <c r="D21" i="9"/>
  <c r="C21" i="9"/>
  <c r="I19" i="9"/>
  <c r="H19" i="9"/>
  <c r="G19" i="9"/>
  <c r="F19" i="9"/>
  <c r="E19" i="9"/>
  <c r="D19" i="9"/>
  <c r="C19" i="9"/>
  <c r="B19" i="9"/>
  <c r="A19" i="9"/>
  <c r="I18" i="9"/>
  <c r="H18" i="9"/>
  <c r="G18" i="9"/>
  <c r="F18" i="9"/>
  <c r="E18" i="9"/>
  <c r="D18" i="9"/>
  <c r="C18" i="9"/>
  <c r="B18" i="9"/>
  <c r="I17" i="9"/>
  <c r="H17" i="9"/>
  <c r="G17" i="9"/>
  <c r="F17" i="9"/>
  <c r="E17" i="9"/>
  <c r="D17" i="9"/>
  <c r="C17" i="9"/>
  <c r="B17" i="9"/>
  <c r="I15" i="9"/>
  <c r="H15" i="9"/>
  <c r="G15" i="9"/>
  <c r="F15" i="9"/>
  <c r="E15" i="9"/>
  <c r="D15" i="9"/>
  <c r="C15" i="9"/>
  <c r="I34" i="9"/>
  <c r="G34" i="9"/>
  <c r="F34" i="9"/>
  <c r="E34" i="9"/>
  <c r="D34" i="9"/>
  <c r="C34" i="9"/>
  <c r="I14" i="9"/>
  <c r="H14" i="9"/>
  <c r="G14" i="9"/>
  <c r="F14" i="9"/>
  <c r="E14" i="9"/>
  <c r="D14" i="9"/>
  <c r="C14" i="9"/>
  <c r="I13" i="9"/>
  <c r="H13" i="9"/>
  <c r="G13" i="9"/>
  <c r="F13" i="9"/>
  <c r="E13" i="9"/>
  <c r="D13" i="9"/>
  <c r="C13" i="9"/>
  <c r="B13" i="9"/>
  <c r="I12" i="9"/>
  <c r="H12" i="9"/>
  <c r="G12" i="9"/>
  <c r="F12" i="9"/>
  <c r="E12" i="9"/>
  <c r="D12" i="9"/>
  <c r="C12" i="9"/>
  <c r="I11" i="9"/>
  <c r="H11" i="9"/>
  <c r="G11" i="9"/>
  <c r="F11" i="9"/>
  <c r="E11" i="9"/>
  <c r="D11" i="9"/>
  <c r="C11" i="9"/>
  <c r="I10" i="9"/>
  <c r="H10" i="9"/>
  <c r="G10" i="9"/>
  <c r="F10" i="9"/>
  <c r="E10" i="9"/>
  <c r="D10" i="9"/>
  <c r="C10" i="9"/>
  <c r="I9" i="9"/>
  <c r="H9" i="9"/>
  <c r="G9" i="9"/>
  <c r="F9" i="9"/>
  <c r="E9" i="9"/>
  <c r="D9" i="9"/>
  <c r="C9" i="9"/>
  <c r="I8" i="9"/>
  <c r="H8" i="9"/>
  <c r="G8" i="9"/>
  <c r="F8" i="9"/>
  <c r="E8" i="9"/>
  <c r="D8" i="9"/>
  <c r="C8" i="9"/>
  <c r="I7" i="9"/>
  <c r="H7" i="9"/>
  <c r="G7" i="9"/>
  <c r="F7" i="9"/>
  <c r="E7" i="9"/>
  <c r="D7" i="9"/>
  <c r="C7" i="9"/>
  <c r="I6" i="9"/>
  <c r="H6" i="9"/>
  <c r="G6" i="9"/>
  <c r="F6" i="9"/>
  <c r="E6" i="9"/>
  <c r="D6" i="9"/>
  <c r="C6" i="9"/>
  <c r="I5" i="9"/>
  <c r="H5" i="9"/>
  <c r="G5" i="9"/>
  <c r="F5" i="9"/>
  <c r="E5" i="9"/>
  <c r="D5" i="9"/>
  <c r="C5" i="9"/>
  <c r="I4" i="9"/>
  <c r="H4" i="9"/>
  <c r="G4" i="9"/>
  <c r="F4" i="9"/>
  <c r="E4" i="9"/>
  <c r="D4" i="9"/>
  <c r="C4" i="9"/>
  <c r="I3" i="9"/>
  <c r="H3" i="9"/>
  <c r="G3" i="9"/>
  <c r="F3" i="9"/>
  <c r="E3" i="9"/>
  <c r="D3" i="9"/>
  <c r="C3" i="9"/>
  <c r="I1" i="9"/>
  <c r="G1" i="9"/>
  <c r="F1" i="9"/>
  <c r="E1" i="9"/>
  <c r="D1" i="9"/>
  <c r="C1" i="9"/>
  <c r="B1" i="9"/>
  <c r="I13" i="8"/>
  <c r="H13" i="8"/>
  <c r="G13" i="8"/>
  <c r="F13" i="8"/>
  <c r="E13" i="8"/>
  <c r="D13" i="8"/>
  <c r="C13" i="8"/>
  <c r="I12" i="8"/>
  <c r="H12" i="8"/>
  <c r="G12" i="8"/>
  <c r="F12" i="8"/>
  <c r="E12" i="8"/>
  <c r="D12" i="8"/>
  <c r="C12" i="8"/>
  <c r="I11" i="8"/>
  <c r="H11" i="8"/>
  <c r="G11" i="8"/>
  <c r="F11" i="8"/>
  <c r="E11" i="8"/>
  <c r="D11" i="8"/>
  <c r="C11" i="8"/>
  <c r="I10" i="8"/>
  <c r="H10" i="8"/>
  <c r="G10" i="8"/>
  <c r="F10" i="8"/>
  <c r="E10" i="8"/>
  <c r="D10" i="8"/>
  <c r="C10" i="8"/>
  <c r="I9" i="8"/>
  <c r="H9" i="8"/>
  <c r="G9" i="8"/>
  <c r="F9" i="8"/>
  <c r="E9" i="8"/>
  <c r="D9" i="8"/>
  <c r="C9" i="8"/>
  <c r="B9" i="8"/>
  <c r="I7" i="8"/>
  <c r="H7" i="8"/>
  <c r="G7" i="8"/>
  <c r="F7" i="8"/>
  <c r="E7" i="8"/>
  <c r="D7" i="8"/>
  <c r="C7" i="8"/>
  <c r="I5" i="8"/>
  <c r="H5" i="8"/>
  <c r="G5" i="8"/>
  <c r="F5" i="8"/>
  <c r="E5" i="8"/>
  <c r="D5" i="8"/>
  <c r="C5" i="8"/>
  <c r="B5" i="8"/>
  <c r="I4" i="8"/>
  <c r="H4" i="8"/>
  <c r="G4" i="8"/>
  <c r="F4" i="8"/>
  <c r="E4" i="8"/>
  <c r="D4" i="8"/>
  <c r="C4" i="8"/>
  <c r="I3" i="8"/>
  <c r="H3" i="8"/>
  <c r="G3" i="8"/>
  <c r="F3" i="8"/>
  <c r="E3" i="8"/>
  <c r="D3" i="8"/>
  <c r="C3" i="8"/>
  <c r="I1" i="8"/>
  <c r="G1" i="8"/>
  <c r="F1" i="8"/>
  <c r="E1" i="8"/>
  <c r="D1" i="8"/>
  <c r="C1" i="8"/>
  <c r="B1" i="8"/>
  <c r="I13" i="7"/>
  <c r="H13" i="7"/>
  <c r="G13" i="7"/>
  <c r="F13" i="7"/>
  <c r="E13" i="7"/>
  <c r="D13" i="7"/>
  <c r="C13" i="7"/>
  <c r="I12" i="7"/>
  <c r="H12" i="7"/>
  <c r="G12" i="7"/>
  <c r="F12" i="7"/>
  <c r="E12" i="7"/>
  <c r="D12" i="7"/>
  <c r="C12" i="7"/>
  <c r="B12" i="7"/>
  <c r="A12" i="7"/>
  <c r="I9" i="7"/>
  <c r="H9" i="7"/>
  <c r="G9" i="7"/>
  <c r="F9" i="7"/>
  <c r="E9" i="7"/>
  <c r="D9" i="7"/>
  <c r="C9" i="7"/>
  <c r="B9" i="7"/>
  <c r="I7" i="7"/>
  <c r="H7" i="7"/>
  <c r="G7" i="7"/>
  <c r="F7" i="7"/>
  <c r="E7" i="7"/>
  <c r="D7" i="7"/>
  <c r="C7" i="7"/>
  <c r="I6" i="7"/>
  <c r="H6" i="7"/>
  <c r="G6" i="7"/>
  <c r="F6" i="7"/>
  <c r="E6" i="7"/>
  <c r="D6" i="7"/>
  <c r="C6" i="7"/>
  <c r="I5" i="7"/>
  <c r="H5" i="7"/>
  <c r="G5" i="7"/>
  <c r="F5" i="7"/>
  <c r="E5" i="7"/>
  <c r="D5" i="7"/>
  <c r="C5" i="7"/>
  <c r="I4" i="7"/>
  <c r="H4" i="7"/>
  <c r="G4" i="7"/>
  <c r="F4" i="7"/>
  <c r="E4" i="7"/>
  <c r="D4" i="7"/>
  <c r="C4" i="7"/>
  <c r="I3" i="7"/>
  <c r="H3" i="7"/>
  <c r="G3" i="7"/>
  <c r="F3" i="7"/>
  <c r="E3" i="7"/>
  <c r="D3" i="7"/>
  <c r="C3" i="7"/>
  <c r="I1" i="7"/>
  <c r="G1" i="7"/>
  <c r="F1" i="7"/>
  <c r="E1" i="7"/>
  <c r="D1" i="7"/>
  <c r="C1" i="7"/>
  <c r="B1" i="7"/>
  <c r="I22" i="6"/>
  <c r="H22" i="6"/>
  <c r="G22" i="6"/>
  <c r="F22" i="6"/>
  <c r="E22" i="6"/>
  <c r="D22" i="6"/>
  <c r="C22" i="6"/>
  <c r="B22" i="6"/>
  <c r="A22" i="6"/>
  <c r="I21" i="6"/>
  <c r="H21" i="6"/>
  <c r="G21" i="6"/>
  <c r="F21" i="6"/>
  <c r="E21" i="6"/>
  <c r="D21" i="6"/>
  <c r="C21" i="6"/>
  <c r="B21" i="6"/>
  <c r="A21" i="6"/>
  <c r="I20" i="6"/>
  <c r="H20" i="6"/>
  <c r="G20" i="6"/>
  <c r="F20" i="6"/>
  <c r="E20" i="6"/>
  <c r="D20" i="6"/>
  <c r="C20" i="6"/>
  <c r="B20" i="6"/>
  <c r="A20" i="6"/>
  <c r="I19" i="6"/>
  <c r="H19" i="6"/>
  <c r="G19" i="6"/>
  <c r="F19" i="6"/>
  <c r="E19" i="6"/>
  <c r="D19" i="6"/>
  <c r="C19" i="6"/>
  <c r="B19" i="6"/>
  <c r="A19" i="6"/>
  <c r="I18" i="6"/>
  <c r="H18" i="6"/>
  <c r="G18" i="6"/>
  <c r="F18" i="6"/>
  <c r="E18" i="6"/>
  <c r="D18" i="6"/>
  <c r="C18" i="6"/>
  <c r="B18" i="6"/>
  <c r="A18" i="6"/>
  <c r="I17" i="6"/>
  <c r="H17" i="6"/>
  <c r="G17" i="6"/>
  <c r="F17" i="6"/>
  <c r="E17" i="6"/>
  <c r="D17" i="6"/>
  <c r="C17" i="6"/>
  <c r="I16" i="6"/>
  <c r="H16" i="6"/>
  <c r="G16" i="6"/>
  <c r="F16" i="6"/>
  <c r="E16" i="6"/>
  <c r="D16" i="6"/>
  <c r="C16" i="6"/>
  <c r="I15" i="6"/>
  <c r="H15" i="6"/>
  <c r="G15" i="6"/>
  <c r="F15" i="6"/>
  <c r="E15" i="6"/>
  <c r="D15" i="6"/>
  <c r="C15" i="6"/>
  <c r="I13" i="6"/>
  <c r="H13" i="6"/>
  <c r="G13" i="6"/>
  <c r="F13" i="6"/>
  <c r="E13" i="6"/>
  <c r="D13" i="6"/>
  <c r="C13" i="6"/>
  <c r="B13" i="6"/>
  <c r="I11" i="6"/>
  <c r="G11" i="6"/>
  <c r="F11" i="6"/>
  <c r="E11" i="6"/>
  <c r="D11" i="6"/>
  <c r="C11" i="6"/>
  <c r="I10" i="6"/>
  <c r="H10" i="6"/>
  <c r="G10" i="6"/>
  <c r="F10" i="6"/>
  <c r="E10" i="6"/>
  <c r="D10" i="6"/>
  <c r="C10" i="6"/>
  <c r="I9" i="6"/>
  <c r="H9" i="6"/>
  <c r="G9" i="6"/>
  <c r="F9" i="6"/>
  <c r="E9" i="6"/>
  <c r="D9" i="6"/>
  <c r="C9" i="6"/>
  <c r="I8" i="6"/>
  <c r="H8" i="6"/>
  <c r="G8" i="6"/>
  <c r="F8" i="6"/>
  <c r="E8" i="6"/>
  <c r="D8" i="6"/>
  <c r="C8" i="6"/>
  <c r="I7" i="6"/>
  <c r="H7" i="6"/>
  <c r="G7" i="6"/>
  <c r="F7" i="6"/>
  <c r="E7" i="6"/>
  <c r="D7" i="6"/>
  <c r="C7" i="6"/>
  <c r="I6" i="6"/>
  <c r="H6" i="6"/>
  <c r="G6" i="6"/>
  <c r="F6" i="6"/>
  <c r="E6" i="6"/>
  <c r="D6" i="6"/>
  <c r="C6" i="6"/>
  <c r="I5" i="6"/>
  <c r="H5" i="6"/>
  <c r="G5" i="6"/>
  <c r="F5" i="6"/>
  <c r="E5" i="6"/>
  <c r="D5" i="6"/>
  <c r="C5" i="6"/>
  <c r="I4" i="6"/>
  <c r="H4" i="6"/>
  <c r="G4" i="6"/>
  <c r="F4" i="6"/>
  <c r="E4" i="6"/>
  <c r="D4" i="6"/>
  <c r="C4" i="6"/>
  <c r="I3" i="6"/>
  <c r="H3" i="6"/>
  <c r="G3" i="6"/>
  <c r="F3" i="6"/>
  <c r="E3" i="6"/>
  <c r="D3" i="6"/>
  <c r="C3" i="6"/>
  <c r="I1" i="6"/>
  <c r="G1" i="6"/>
  <c r="F1" i="6"/>
  <c r="E1" i="6"/>
  <c r="D1" i="6"/>
  <c r="C1" i="6"/>
  <c r="B1" i="6"/>
  <c r="I30" i="5"/>
  <c r="H30" i="5"/>
  <c r="G30" i="5"/>
  <c r="F30" i="5"/>
  <c r="E30" i="5"/>
  <c r="D30" i="5"/>
  <c r="C30" i="5"/>
  <c r="B30" i="5"/>
  <c r="A30" i="5"/>
  <c r="I29" i="5"/>
  <c r="H29" i="5"/>
  <c r="G29" i="5"/>
  <c r="F29" i="5"/>
  <c r="E29" i="5"/>
  <c r="D29" i="5"/>
  <c r="C29" i="5"/>
  <c r="A29" i="5"/>
  <c r="I28" i="5"/>
  <c r="H28" i="5"/>
  <c r="G28" i="5"/>
  <c r="F28" i="5"/>
  <c r="E28" i="5"/>
  <c r="D28" i="5"/>
  <c r="C28" i="5"/>
  <c r="B28" i="5"/>
  <c r="A28" i="5"/>
  <c r="I27" i="5"/>
  <c r="H27" i="5"/>
  <c r="G27" i="5"/>
  <c r="F27" i="5"/>
  <c r="E27" i="5"/>
  <c r="D27" i="5"/>
  <c r="C27" i="5"/>
  <c r="B27" i="5"/>
  <c r="A27" i="5"/>
  <c r="I26" i="5"/>
  <c r="H26" i="5"/>
  <c r="G26" i="5"/>
  <c r="F26" i="5"/>
  <c r="E26" i="5"/>
  <c r="D26" i="5"/>
  <c r="C26" i="5"/>
  <c r="B26" i="5"/>
  <c r="A26" i="5"/>
  <c r="I25" i="5"/>
  <c r="H25" i="5"/>
  <c r="G25" i="5"/>
  <c r="F25" i="5"/>
  <c r="E25" i="5"/>
  <c r="D25" i="5"/>
  <c r="C25" i="5"/>
  <c r="I24" i="5"/>
  <c r="H24" i="5"/>
  <c r="G24" i="5"/>
  <c r="F24" i="5"/>
  <c r="E24" i="5"/>
  <c r="D24" i="5"/>
  <c r="C24" i="5"/>
  <c r="I23" i="5"/>
  <c r="H23" i="5"/>
  <c r="G23" i="5"/>
  <c r="F23" i="5"/>
  <c r="E23" i="5"/>
  <c r="D23" i="5"/>
  <c r="C23" i="5"/>
  <c r="I22" i="5"/>
  <c r="H22" i="5"/>
  <c r="G22" i="5"/>
  <c r="F22" i="5"/>
  <c r="E22" i="5"/>
  <c r="D22" i="5"/>
  <c r="C22" i="5"/>
  <c r="I21" i="5"/>
  <c r="H21" i="5"/>
  <c r="G21" i="5"/>
  <c r="F21" i="5"/>
  <c r="E21" i="5"/>
  <c r="D21" i="5"/>
  <c r="C21" i="5"/>
  <c r="I20" i="5"/>
  <c r="H20" i="5"/>
  <c r="G20" i="5"/>
  <c r="F20" i="5"/>
  <c r="E20" i="5"/>
  <c r="D20" i="5"/>
  <c r="C20" i="5"/>
  <c r="I19" i="5"/>
  <c r="H19" i="5"/>
  <c r="G19" i="5"/>
  <c r="F19" i="5"/>
  <c r="E19" i="5"/>
  <c r="D19" i="5"/>
  <c r="C19" i="5"/>
  <c r="I18" i="5"/>
  <c r="H18" i="5"/>
  <c r="G18" i="5"/>
  <c r="F18" i="5"/>
  <c r="E18" i="5"/>
  <c r="D18" i="5"/>
  <c r="C18" i="5"/>
  <c r="B18" i="5"/>
  <c r="I17" i="5"/>
  <c r="H17" i="5"/>
  <c r="G17" i="5"/>
  <c r="F17" i="5"/>
  <c r="E17" i="5"/>
  <c r="D17" i="5"/>
  <c r="C17" i="5"/>
  <c r="I16" i="5"/>
  <c r="H16" i="5"/>
  <c r="G16" i="5"/>
  <c r="F16" i="5"/>
  <c r="E16" i="5"/>
  <c r="D16" i="5"/>
  <c r="C16" i="5"/>
  <c r="I15" i="5"/>
  <c r="H15" i="5"/>
  <c r="G15" i="5"/>
  <c r="F15" i="5"/>
  <c r="E15" i="5"/>
  <c r="D15" i="5"/>
  <c r="C15" i="5"/>
  <c r="I14" i="5"/>
  <c r="H14" i="5"/>
  <c r="G14" i="5"/>
  <c r="F14" i="5"/>
  <c r="E14" i="5"/>
  <c r="D14" i="5"/>
  <c r="C14" i="5"/>
  <c r="I12" i="5"/>
  <c r="H12" i="5"/>
  <c r="G12" i="5"/>
  <c r="F12" i="5"/>
  <c r="E12" i="5"/>
  <c r="D12" i="5"/>
  <c r="C12" i="5"/>
  <c r="B12" i="5"/>
  <c r="A12" i="5"/>
  <c r="I11" i="5"/>
  <c r="H11" i="5"/>
  <c r="G11" i="5"/>
  <c r="F11" i="5"/>
  <c r="E11" i="5"/>
  <c r="D11" i="5"/>
  <c r="C11" i="5"/>
  <c r="I9" i="5"/>
  <c r="H9" i="5"/>
  <c r="G9" i="5"/>
  <c r="F9" i="5"/>
  <c r="E9" i="5"/>
  <c r="D9" i="5"/>
  <c r="C9" i="5"/>
  <c r="I8" i="5"/>
  <c r="H8" i="5"/>
  <c r="G8" i="5"/>
  <c r="F8" i="5"/>
  <c r="E8" i="5"/>
  <c r="D8" i="5"/>
  <c r="C8" i="5"/>
  <c r="I7" i="5"/>
  <c r="H7" i="5"/>
  <c r="G7" i="5"/>
  <c r="F7" i="5"/>
  <c r="E7" i="5"/>
  <c r="D7" i="5"/>
  <c r="C7" i="5"/>
  <c r="I6" i="5"/>
  <c r="H6" i="5"/>
  <c r="G6" i="5"/>
  <c r="F6" i="5"/>
  <c r="E6" i="5"/>
  <c r="D6" i="5"/>
  <c r="C6" i="5"/>
  <c r="I5" i="5"/>
  <c r="H5" i="5"/>
  <c r="G5" i="5"/>
  <c r="F5" i="5"/>
  <c r="E5" i="5"/>
  <c r="D5" i="5"/>
  <c r="C5" i="5"/>
  <c r="I4" i="5"/>
  <c r="H4" i="5"/>
  <c r="G4" i="5"/>
  <c r="F4" i="5"/>
  <c r="E4" i="5"/>
  <c r="D4" i="5"/>
  <c r="C4" i="5"/>
  <c r="I3" i="5"/>
  <c r="H3" i="5"/>
  <c r="G3" i="5"/>
  <c r="F3" i="5"/>
  <c r="E3" i="5"/>
  <c r="D3" i="5"/>
  <c r="C3" i="5"/>
  <c r="I1" i="5"/>
  <c r="G1" i="5"/>
  <c r="F1" i="5"/>
  <c r="E1" i="5"/>
  <c r="D1" i="5"/>
  <c r="C1" i="5"/>
  <c r="B1" i="5"/>
  <c r="I22" i="4"/>
  <c r="H22" i="4"/>
  <c r="G22" i="4"/>
  <c r="F22" i="4"/>
  <c r="E22" i="4"/>
  <c r="D22" i="4"/>
  <c r="C22" i="4"/>
  <c r="B22" i="4"/>
  <c r="A22" i="4"/>
  <c r="I21" i="4"/>
  <c r="H21" i="4"/>
  <c r="G21" i="4"/>
  <c r="F21" i="4"/>
  <c r="E21" i="4"/>
  <c r="D21" i="4"/>
  <c r="C21" i="4"/>
  <c r="B21" i="4"/>
  <c r="A21" i="4"/>
  <c r="I20" i="4"/>
  <c r="H20" i="4"/>
  <c r="G20" i="4"/>
  <c r="F20" i="4"/>
  <c r="E20" i="4"/>
  <c r="D20" i="4"/>
  <c r="C20" i="4"/>
  <c r="B20" i="4"/>
  <c r="A20" i="4"/>
  <c r="I18" i="4"/>
  <c r="H18" i="4"/>
  <c r="G18" i="4"/>
  <c r="F18" i="4"/>
  <c r="E18" i="4"/>
  <c r="D18" i="4"/>
  <c r="C18" i="4"/>
  <c r="I17" i="4"/>
  <c r="H17" i="4"/>
  <c r="G17" i="4"/>
  <c r="F17" i="4"/>
  <c r="E17" i="4"/>
  <c r="D17" i="4"/>
  <c r="C17" i="4"/>
  <c r="I16" i="4"/>
  <c r="H16" i="4"/>
  <c r="G16" i="4"/>
  <c r="F16" i="4"/>
  <c r="E16" i="4"/>
  <c r="D16" i="4"/>
  <c r="C16" i="4"/>
  <c r="I15" i="4"/>
  <c r="H15" i="4"/>
  <c r="G15" i="4"/>
  <c r="F15" i="4"/>
  <c r="E15" i="4"/>
  <c r="D15" i="4"/>
  <c r="C15" i="4"/>
  <c r="B15" i="4"/>
  <c r="I14" i="4"/>
  <c r="H14" i="4"/>
  <c r="G14" i="4"/>
  <c r="F14" i="4"/>
  <c r="E14" i="4"/>
  <c r="D14" i="4"/>
  <c r="C14" i="4"/>
  <c r="I13" i="4"/>
  <c r="H13" i="4"/>
  <c r="G13" i="4"/>
  <c r="F13" i="4"/>
  <c r="E13" i="4"/>
  <c r="D13" i="4"/>
  <c r="C13" i="4"/>
  <c r="I11" i="4"/>
  <c r="H11" i="4"/>
  <c r="G11" i="4"/>
  <c r="F11" i="4"/>
  <c r="E11" i="4"/>
  <c r="D11" i="4"/>
  <c r="C11" i="4"/>
  <c r="B11" i="4"/>
  <c r="A11" i="4"/>
  <c r="I9" i="4"/>
  <c r="G9" i="4"/>
  <c r="F9" i="4"/>
  <c r="E9" i="4"/>
  <c r="D9" i="4"/>
  <c r="C9" i="4"/>
  <c r="I8" i="4"/>
  <c r="H8" i="4"/>
  <c r="G8" i="4"/>
  <c r="F8" i="4"/>
  <c r="E8" i="4"/>
  <c r="D8" i="4"/>
  <c r="C8" i="4"/>
  <c r="I7" i="4"/>
  <c r="H7" i="4"/>
  <c r="G7" i="4"/>
  <c r="F7" i="4"/>
  <c r="E7" i="4"/>
  <c r="D7" i="4"/>
  <c r="C7" i="4"/>
  <c r="I6" i="4"/>
  <c r="H6" i="4"/>
  <c r="G6" i="4"/>
  <c r="F6" i="4"/>
  <c r="E6" i="4"/>
  <c r="D6" i="4"/>
  <c r="C6" i="4"/>
  <c r="I5" i="4"/>
  <c r="H5" i="4"/>
  <c r="G5" i="4"/>
  <c r="F5" i="4"/>
  <c r="E5" i="4"/>
  <c r="D5" i="4"/>
  <c r="C5" i="4"/>
  <c r="B5" i="4"/>
  <c r="I4" i="4"/>
  <c r="H4" i="4"/>
  <c r="G4" i="4"/>
  <c r="F4" i="4"/>
  <c r="E4" i="4"/>
  <c r="D4" i="4"/>
  <c r="C4" i="4"/>
  <c r="I3" i="4"/>
  <c r="H3" i="4"/>
  <c r="G3" i="4"/>
  <c r="F3" i="4"/>
  <c r="E3" i="4"/>
  <c r="D3" i="4"/>
  <c r="C3" i="4"/>
  <c r="I1" i="4"/>
  <c r="G1" i="4"/>
  <c r="F1" i="4"/>
  <c r="E1" i="4"/>
  <c r="D1" i="4"/>
  <c r="C1" i="4"/>
  <c r="B1" i="4"/>
  <c r="I32" i="3"/>
  <c r="H32" i="3"/>
  <c r="G32" i="3"/>
  <c r="F32" i="3"/>
  <c r="E32" i="3"/>
  <c r="D32" i="3"/>
  <c r="C32" i="3"/>
  <c r="B32" i="3"/>
  <c r="A32" i="3"/>
  <c r="I31" i="3"/>
  <c r="H31" i="3"/>
  <c r="G31" i="3"/>
  <c r="F31" i="3"/>
  <c r="E31" i="3"/>
  <c r="D31" i="3"/>
  <c r="C31" i="3"/>
  <c r="B31" i="3"/>
  <c r="A31" i="3"/>
  <c r="I30" i="3"/>
  <c r="H30" i="3"/>
  <c r="G30" i="3"/>
  <c r="F30" i="3"/>
  <c r="E30" i="3"/>
  <c r="D30" i="3"/>
  <c r="C30" i="3"/>
  <c r="I29" i="3"/>
  <c r="H29" i="3"/>
  <c r="G29" i="3"/>
  <c r="F29" i="3"/>
  <c r="E29" i="3"/>
  <c r="D29" i="3"/>
  <c r="C29" i="3"/>
  <c r="B29" i="3"/>
  <c r="A29" i="3"/>
  <c r="I28" i="3"/>
  <c r="H28" i="3"/>
  <c r="G28" i="3"/>
  <c r="F28" i="3"/>
  <c r="E28" i="3"/>
  <c r="D28" i="3"/>
  <c r="C28" i="3"/>
  <c r="B28" i="3"/>
  <c r="A28" i="3"/>
  <c r="I27" i="3"/>
  <c r="H27" i="3"/>
  <c r="G27" i="3"/>
  <c r="F27" i="3"/>
  <c r="E27" i="3"/>
  <c r="D27" i="3"/>
  <c r="C27" i="3"/>
  <c r="B27" i="3"/>
  <c r="A27" i="3"/>
  <c r="I26" i="3"/>
  <c r="H26" i="3"/>
  <c r="G26" i="3"/>
  <c r="F26" i="3"/>
  <c r="E26" i="3"/>
  <c r="D26" i="3"/>
  <c r="C26" i="3"/>
  <c r="B26" i="3"/>
  <c r="A26" i="3"/>
  <c r="I25" i="3"/>
  <c r="H25" i="3"/>
  <c r="G25" i="3"/>
  <c r="F25" i="3"/>
  <c r="E25" i="3"/>
  <c r="D25" i="3"/>
  <c r="C25" i="3"/>
  <c r="B25" i="3"/>
  <c r="A25" i="3"/>
  <c r="I24" i="3"/>
  <c r="H24" i="3"/>
  <c r="G24" i="3"/>
  <c r="F24" i="3"/>
  <c r="E24" i="3"/>
  <c r="D24" i="3"/>
  <c r="C24" i="3"/>
  <c r="B24" i="3"/>
  <c r="A24" i="3"/>
  <c r="I23" i="3"/>
  <c r="H23" i="3"/>
  <c r="G23" i="3"/>
  <c r="F23" i="3"/>
  <c r="E23" i="3"/>
  <c r="D23" i="3"/>
  <c r="C23" i="3"/>
  <c r="I22" i="3"/>
  <c r="H22" i="3"/>
  <c r="G22" i="3"/>
  <c r="F22" i="3"/>
  <c r="E22" i="3"/>
  <c r="D22" i="3"/>
  <c r="C22" i="3"/>
  <c r="I21" i="3"/>
  <c r="H21" i="3"/>
  <c r="G21" i="3"/>
  <c r="F21" i="3"/>
  <c r="E21" i="3"/>
  <c r="D21" i="3"/>
  <c r="C21" i="3"/>
  <c r="I20" i="3"/>
  <c r="H20" i="3"/>
  <c r="G20" i="3"/>
  <c r="F20" i="3"/>
  <c r="E20" i="3"/>
  <c r="D20" i="3"/>
  <c r="C20" i="3"/>
  <c r="I19" i="3"/>
  <c r="H19" i="3"/>
  <c r="G19" i="3"/>
  <c r="F19" i="3"/>
  <c r="E19" i="3"/>
  <c r="D19" i="3"/>
  <c r="C19" i="3"/>
  <c r="I18" i="3"/>
  <c r="H18" i="3"/>
  <c r="G18" i="3"/>
  <c r="F18" i="3"/>
  <c r="E18" i="3"/>
  <c r="D18" i="3"/>
  <c r="C18" i="3"/>
  <c r="I17" i="3"/>
  <c r="H17" i="3"/>
  <c r="G17" i="3"/>
  <c r="F17" i="3"/>
  <c r="E17" i="3"/>
  <c r="D17" i="3"/>
  <c r="C17" i="3"/>
  <c r="I15" i="3"/>
  <c r="H15" i="3"/>
  <c r="G15" i="3"/>
  <c r="F15" i="3"/>
  <c r="E15" i="3"/>
  <c r="D15" i="3"/>
  <c r="C15" i="3"/>
  <c r="I14" i="3"/>
  <c r="H14" i="3"/>
  <c r="G14" i="3"/>
  <c r="F14" i="3"/>
  <c r="E14" i="3"/>
  <c r="D14" i="3"/>
  <c r="C14" i="3"/>
  <c r="I12" i="3"/>
  <c r="H12" i="3"/>
  <c r="G12" i="3"/>
  <c r="F12" i="3"/>
  <c r="E12" i="3"/>
  <c r="D12" i="3"/>
  <c r="C12" i="3"/>
  <c r="B12" i="3"/>
  <c r="I11" i="3"/>
  <c r="H11" i="3"/>
  <c r="G11" i="3"/>
  <c r="F11" i="3"/>
  <c r="E11" i="3"/>
  <c r="D11" i="3"/>
  <c r="C11" i="3"/>
  <c r="B11" i="3"/>
  <c r="I10" i="3"/>
  <c r="H10" i="3"/>
  <c r="G10" i="3"/>
  <c r="F10" i="3"/>
  <c r="E10" i="3"/>
  <c r="D10" i="3"/>
  <c r="C10" i="3"/>
  <c r="I9" i="3"/>
  <c r="H9" i="3"/>
  <c r="G9" i="3"/>
  <c r="F9" i="3"/>
  <c r="E9" i="3"/>
  <c r="D9" i="3"/>
  <c r="C9" i="3"/>
  <c r="I8" i="3"/>
  <c r="H8" i="3"/>
  <c r="G8" i="3"/>
  <c r="F8" i="3"/>
  <c r="E8" i="3"/>
  <c r="D8" i="3"/>
  <c r="C8" i="3"/>
  <c r="I7" i="3"/>
  <c r="H7" i="3"/>
  <c r="G7" i="3"/>
  <c r="F7" i="3"/>
  <c r="E7" i="3"/>
  <c r="D7" i="3"/>
  <c r="C7" i="3"/>
  <c r="B7" i="3"/>
  <c r="I6" i="3"/>
  <c r="H6" i="3"/>
  <c r="G6" i="3"/>
  <c r="F6" i="3"/>
  <c r="E6" i="3"/>
  <c r="D6" i="3"/>
  <c r="C6" i="3"/>
  <c r="I5" i="3"/>
  <c r="H5" i="3"/>
  <c r="G5" i="3"/>
  <c r="F5" i="3"/>
  <c r="E5" i="3"/>
  <c r="D5" i="3"/>
  <c r="C5" i="3"/>
  <c r="I4" i="3"/>
  <c r="H4" i="3"/>
  <c r="G4" i="3"/>
  <c r="F4" i="3"/>
  <c r="E4" i="3"/>
  <c r="D4" i="3"/>
  <c r="C4" i="3"/>
  <c r="I3" i="3"/>
  <c r="H3" i="3"/>
  <c r="G3" i="3"/>
  <c r="F3" i="3"/>
  <c r="E3" i="3"/>
  <c r="D3" i="3"/>
  <c r="C3" i="3"/>
  <c r="I1" i="3"/>
  <c r="G1" i="3"/>
  <c r="F1" i="3"/>
  <c r="E1" i="3"/>
  <c r="D1" i="3"/>
  <c r="C1" i="3"/>
  <c r="B1" i="3"/>
  <c r="I19" i="2"/>
  <c r="H19" i="2"/>
  <c r="G19" i="2"/>
  <c r="F19" i="2"/>
  <c r="E19" i="2"/>
  <c r="D19" i="2"/>
  <c r="C19" i="2"/>
  <c r="A19" i="2"/>
  <c r="I18" i="2"/>
  <c r="H18" i="2"/>
  <c r="G18" i="2"/>
  <c r="F18" i="2"/>
  <c r="E18" i="2"/>
  <c r="D18" i="2"/>
  <c r="C18" i="2"/>
  <c r="B18" i="2"/>
  <c r="A18" i="2"/>
  <c r="I17" i="2"/>
  <c r="H17" i="2"/>
  <c r="G17" i="2"/>
  <c r="F17" i="2"/>
  <c r="E17" i="2"/>
  <c r="D17" i="2"/>
  <c r="C17" i="2"/>
  <c r="I16" i="2"/>
  <c r="H16" i="2"/>
  <c r="G16" i="2"/>
  <c r="F16" i="2"/>
  <c r="E16" i="2"/>
  <c r="D16" i="2"/>
  <c r="C16" i="2"/>
  <c r="I15" i="2"/>
  <c r="H15" i="2"/>
  <c r="G15" i="2"/>
  <c r="F15" i="2"/>
  <c r="E15" i="2"/>
  <c r="D15" i="2"/>
  <c r="C15" i="2"/>
  <c r="I14" i="2"/>
  <c r="H14" i="2"/>
  <c r="G14" i="2"/>
  <c r="F14" i="2"/>
  <c r="E14" i="2"/>
  <c r="D14" i="2"/>
  <c r="C14" i="2"/>
  <c r="I10" i="2"/>
  <c r="H10" i="2"/>
  <c r="G10" i="2"/>
  <c r="F10" i="2"/>
  <c r="E10" i="2"/>
  <c r="D10" i="2"/>
  <c r="C10" i="2"/>
  <c r="I9" i="2"/>
  <c r="H9" i="2"/>
  <c r="G9" i="2"/>
  <c r="F9" i="2"/>
  <c r="E9" i="2"/>
  <c r="D9" i="2"/>
  <c r="C9" i="2"/>
  <c r="I8" i="2"/>
  <c r="H8" i="2"/>
  <c r="G8" i="2"/>
  <c r="F8" i="2"/>
  <c r="E8" i="2"/>
  <c r="D8" i="2"/>
  <c r="C8" i="2"/>
  <c r="I7" i="2"/>
  <c r="H7" i="2"/>
  <c r="G7" i="2"/>
  <c r="F7" i="2"/>
  <c r="E7" i="2"/>
  <c r="D7" i="2"/>
  <c r="C7" i="2"/>
  <c r="B7" i="2"/>
  <c r="I6" i="2"/>
  <c r="H6" i="2"/>
  <c r="G6" i="2"/>
  <c r="F6" i="2"/>
  <c r="E6" i="2"/>
  <c r="D6" i="2"/>
  <c r="C6" i="2"/>
  <c r="I5" i="2"/>
  <c r="H5" i="2"/>
  <c r="G5" i="2"/>
  <c r="F5" i="2"/>
  <c r="E5" i="2"/>
  <c r="D5" i="2"/>
  <c r="C5" i="2"/>
  <c r="I4" i="2"/>
  <c r="H4" i="2"/>
  <c r="G4" i="2"/>
  <c r="F4" i="2"/>
  <c r="E4" i="2"/>
  <c r="D4" i="2"/>
  <c r="C4" i="2"/>
  <c r="I3" i="2"/>
  <c r="H3" i="2"/>
  <c r="G3" i="2"/>
  <c r="F3" i="2"/>
  <c r="E3" i="2"/>
  <c r="D3" i="2"/>
  <c r="C3" i="2"/>
  <c r="I1" i="2"/>
  <c r="G1" i="2"/>
  <c r="F1" i="2"/>
  <c r="E1" i="2"/>
  <c r="D1" i="2"/>
  <c r="C1" i="2"/>
  <c r="B1" i="2"/>
  <c r="C318" i="1"/>
  <c r="B23" i="34" s="1"/>
  <c r="C317" i="1"/>
  <c r="B18" i="29" s="1"/>
  <c r="C315" i="1"/>
  <c r="B9" i="19" s="1"/>
  <c r="C314" i="1"/>
  <c r="B12" i="38" s="1"/>
  <c r="C313" i="1"/>
  <c r="B6" i="38" s="1"/>
  <c r="C311" i="1"/>
  <c r="B12" i="26" s="1"/>
  <c r="C310" i="1"/>
  <c r="B11" i="39" s="1"/>
  <c r="C309" i="1"/>
  <c r="B5" i="38" s="1"/>
  <c r="C308" i="1"/>
  <c r="B9" i="37" s="1"/>
  <c r="C307" i="1"/>
  <c r="B17" i="37" s="1"/>
  <c r="C306" i="1"/>
  <c r="B7" i="29" s="1"/>
  <c r="C305" i="1"/>
  <c r="B12" i="29" s="1"/>
  <c r="C304" i="1"/>
  <c r="B8" i="19" s="1"/>
  <c r="C303" i="1"/>
  <c r="B19" i="21" s="1"/>
  <c r="C301" i="1"/>
  <c r="B17" i="15" s="1"/>
  <c r="C300" i="1"/>
  <c r="B39" i="19" s="1"/>
  <c r="C299" i="1"/>
  <c r="B27" i="9" s="1"/>
  <c r="C298" i="1"/>
  <c r="B16" i="18" s="1"/>
  <c r="C297" i="1"/>
  <c r="B5" i="36" s="1"/>
  <c r="C296" i="1"/>
  <c r="B13" i="8" s="1"/>
  <c r="C294" i="1"/>
  <c r="B15" i="34" s="1"/>
  <c r="C292" i="1"/>
  <c r="B15" i="9" s="1"/>
  <c r="C291" i="1"/>
  <c r="C289" i="1"/>
  <c r="B8" i="14" s="1"/>
  <c r="C287" i="1"/>
  <c r="B12" i="22" s="1"/>
  <c r="C286" i="1"/>
  <c r="B13" i="22" s="1"/>
  <c r="C285" i="1"/>
  <c r="B17" i="11" s="1"/>
  <c r="C283" i="1"/>
  <c r="B9" i="20" s="1"/>
  <c r="C281" i="1"/>
  <c r="B20" i="16" s="1"/>
  <c r="C279" i="1"/>
  <c r="B17" i="24" s="1"/>
  <c r="C278" i="1"/>
  <c r="B5" i="37" s="1"/>
  <c r="C276" i="1"/>
  <c r="B8" i="3" s="1"/>
  <c r="C275" i="1"/>
  <c r="B16" i="28" s="1"/>
  <c r="C274" i="1"/>
  <c r="B26" i="38" s="1"/>
  <c r="C273" i="1"/>
  <c r="B11" i="16" s="1"/>
  <c r="C271" i="1"/>
  <c r="B13" i="34" s="1"/>
  <c r="C270" i="1"/>
  <c r="B37" i="34" s="1"/>
  <c r="C269" i="1"/>
  <c r="B10" i="22" s="1"/>
  <c r="C268" i="1"/>
  <c r="B12" i="9" s="1"/>
  <c r="C265" i="1"/>
  <c r="B17" i="2" s="1"/>
  <c r="C264" i="1"/>
  <c r="B20" i="34" s="1"/>
  <c r="C262" i="1"/>
  <c r="B25" i="38" s="1"/>
  <c r="C261" i="1"/>
  <c r="B4" i="23" s="1"/>
  <c r="C260" i="1"/>
  <c r="B16" i="2" s="1"/>
  <c r="C259" i="1"/>
  <c r="B25" i="5" s="1"/>
  <c r="C258" i="1"/>
  <c r="C255" i="1"/>
  <c r="B17" i="14" s="1"/>
  <c r="C254" i="1"/>
  <c r="B15" i="2" s="1"/>
  <c r="C253" i="1"/>
  <c r="B37" i="19" s="1"/>
  <c r="C252" i="1"/>
  <c r="B24" i="38" s="1"/>
  <c r="C251" i="1"/>
  <c r="B11" i="34" s="1"/>
  <c r="C250" i="1"/>
  <c r="B5" i="2" s="1"/>
  <c r="C248" i="1"/>
  <c r="B21" i="3" s="1"/>
  <c r="C247" i="1"/>
  <c r="B16" i="15" s="1"/>
  <c r="C246" i="1"/>
  <c r="B17" i="25" s="1"/>
  <c r="C244" i="1"/>
  <c r="B34" i="9" s="1"/>
  <c r="C243" i="1"/>
  <c r="B14" i="2" s="1"/>
  <c r="C242" i="1"/>
  <c r="B10" i="34" s="1"/>
  <c r="C241" i="1"/>
  <c r="B4" i="31" s="1"/>
  <c r="C240" i="1"/>
  <c r="B18" i="32" s="1"/>
  <c r="C238" i="1"/>
  <c r="B19" i="20" s="1"/>
  <c r="C237" i="1"/>
  <c r="B13" i="25" s="1"/>
  <c r="C236" i="1"/>
  <c r="B17" i="21" s="1"/>
  <c r="C234" i="1"/>
  <c r="B14" i="31" s="1"/>
  <c r="C233" i="1"/>
  <c r="B6" i="29" s="1"/>
  <c r="C232" i="1"/>
  <c r="B16" i="29" s="1"/>
  <c r="C231" i="1"/>
  <c r="C230" i="1"/>
  <c r="B16" i="10" s="1"/>
  <c r="C229" i="1"/>
  <c r="B12" i="33" s="1"/>
  <c r="C228" i="1"/>
  <c r="B5" i="23" s="1"/>
  <c r="C227" i="1"/>
  <c r="B5" i="17" s="1"/>
  <c r="C225" i="1"/>
  <c r="B8" i="20" s="1"/>
  <c r="C224" i="1"/>
  <c r="B5" i="28" s="1"/>
  <c r="C223" i="1"/>
  <c r="B5" i="26" s="1"/>
  <c r="C221" i="1"/>
  <c r="B8" i="37" s="1"/>
  <c r="C220" i="1"/>
  <c r="B16" i="19" s="1"/>
  <c r="C218" i="1"/>
  <c r="B9" i="34" s="1"/>
  <c r="C217" i="1"/>
  <c r="B24" i="37" s="1"/>
  <c r="C215" i="1"/>
  <c r="B12" i="24" s="1"/>
  <c r="C212" i="1"/>
  <c r="B6" i="32" s="1"/>
  <c r="C211" i="1"/>
  <c r="B18" i="4" s="1"/>
  <c r="C209" i="1"/>
  <c r="B31" i="39" s="1"/>
  <c r="C208" i="1"/>
  <c r="B22" i="22" s="1"/>
  <c r="C207" i="1"/>
  <c r="B21" i="22" s="1"/>
  <c r="C206" i="1"/>
  <c r="B9" i="22" s="1"/>
  <c r="C205" i="1"/>
  <c r="B18" i="20" s="1"/>
  <c r="C204" i="1"/>
  <c r="B8" i="22" s="1"/>
  <c r="C202" i="1"/>
  <c r="B5" i="14" s="1"/>
  <c r="C201" i="1"/>
  <c r="B16" i="21" s="1"/>
  <c r="C200" i="1"/>
  <c r="B18" i="16" s="1"/>
  <c r="C199" i="1"/>
  <c r="B30" i="39" s="1"/>
  <c r="C198" i="1"/>
  <c r="B7" i="37" s="1"/>
  <c r="C197" i="1"/>
  <c r="B4" i="12" s="1"/>
  <c r="C196" i="1"/>
  <c r="C195" i="1"/>
  <c r="B3" i="37" s="1"/>
  <c r="C194" i="1"/>
  <c r="B12" i="19" s="1"/>
  <c r="C193" i="1"/>
  <c r="B7" i="16" s="1"/>
  <c r="C192" i="1"/>
  <c r="B23" i="5" s="1"/>
  <c r="C191" i="1"/>
  <c r="B22" i="38" s="1"/>
  <c r="C190" i="1"/>
  <c r="B10" i="38" s="1"/>
  <c r="C189" i="1"/>
  <c r="B35" i="19" s="1"/>
  <c r="C187" i="1"/>
  <c r="B34" i="19" s="1"/>
  <c r="C186" i="1"/>
  <c r="B33" i="19" s="1"/>
  <c r="B15" i="24"/>
  <c r="C184" i="1"/>
  <c r="B31" i="19" s="1"/>
  <c r="C182" i="1"/>
  <c r="B19" i="2" s="1"/>
  <c r="C181" i="1"/>
  <c r="B9" i="38" s="1"/>
  <c r="C180" i="1"/>
  <c r="B10" i="36" s="1"/>
  <c r="C179" i="1"/>
  <c r="B4" i="26" s="1"/>
  <c r="C178" i="1"/>
  <c r="B8" i="25" s="1"/>
  <c r="C176" i="1"/>
  <c r="B8" i="34" s="1"/>
  <c r="C175" i="1"/>
  <c r="B10" i="9" s="1"/>
  <c r="C174" i="1"/>
  <c r="C173" i="1"/>
  <c r="B6" i="23" s="1"/>
  <c r="C172" i="1"/>
  <c r="C171" i="1"/>
  <c r="B9" i="9" s="1"/>
  <c r="C170" i="1"/>
  <c r="B6" i="19" s="1"/>
  <c r="C169" i="1"/>
  <c r="B7" i="9" s="1"/>
  <c r="C168" i="1"/>
  <c r="B7" i="34" s="1"/>
  <c r="C167" i="1"/>
  <c r="B8" i="30" s="1"/>
  <c r="C166" i="1"/>
  <c r="B4" i="39" s="1"/>
  <c r="C164" i="1"/>
  <c r="B23" i="9" s="1"/>
  <c r="C163" i="1"/>
  <c r="B17" i="20" s="1"/>
  <c r="C162" i="1"/>
  <c r="B29" i="39" s="1"/>
  <c r="C161" i="1"/>
  <c r="B19" i="39" s="1"/>
  <c r="C160" i="1"/>
  <c r="B4" i="32" s="1"/>
  <c r="C159" i="1"/>
  <c r="B6" i="34" s="1"/>
  <c r="C158" i="1"/>
  <c r="B5" i="33" s="1"/>
  <c r="C156" i="1"/>
  <c r="B15" i="19" s="1"/>
  <c r="C155" i="1"/>
  <c r="B5" i="19" s="1"/>
  <c r="C153" i="1"/>
  <c r="B34" i="34" s="1"/>
  <c r="C152" i="1"/>
  <c r="B10" i="2" s="1"/>
  <c r="C151" i="1"/>
  <c r="B10" i="27" s="1"/>
  <c r="C150" i="1"/>
  <c r="B4" i="17" s="1"/>
  <c r="C149" i="1"/>
  <c r="B8" i="17" s="1"/>
  <c r="C148" i="1"/>
  <c r="B8" i="21" s="1"/>
  <c r="C147" i="1"/>
  <c r="B15" i="21" s="1"/>
  <c r="C144" i="1"/>
  <c r="B4" i="33" s="1"/>
  <c r="C142" i="1"/>
  <c r="B27" i="39" s="1"/>
  <c r="C140" i="1"/>
  <c r="B25" i="39" s="1"/>
  <c r="C139" i="1"/>
  <c r="B7" i="22" s="1"/>
  <c r="C138" i="1"/>
  <c r="B17" i="16" s="1"/>
  <c r="C137" i="1"/>
  <c r="C136" i="1"/>
  <c r="B5" i="16" s="1"/>
  <c r="C135" i="1"/>
  <c r="B15" i="16" s="1"/>
  <c r="C133" i="1"/>
  <c r="B15" i="3" s="1"/>
  <c r="C132" i="1"/>
  <c r="B4" i="13" s="1"/>
  <c r="C131" i="1"/>
  <c r="B3" i="35" s="1"/>
  <c r="C130" i="1"/>
  <c r="B4" i="24" s="1"/>
  <c r="C129" i="1"/>
  <c r="B4" i="19" s="1"/>
  <c r="C128" i="1"/>
  <c r="B17" i="39" s="1"/>
  <c r="C127" i="1"/>
  <c r="B18" i="39" s="1"/>
  <c r="C126" i="1"/>
  <c r="B33" i="34" s="1"/>
  <c r="C125" i="1"/>
  <c r="B18" i="34" s="1"/>
  <c r="C123" i="1"/>
  <c r="B4" i="14" s="1"/>
  <c r="C122" i="1"/>
  <c r="B3" i="14" s="1"/>
  <c r="C121" i="1"/>
  <c r="B7" i="14" s="1"/>
  <c r="C120" i="1"/>
  <c r="B15" i="25" s="1"/>
  <c r="C119" i="1"/>
  <c r="B29" i="19" s="1"/>
  <c r="C115" i="1"/>
  <c r="B19" i="22" s="1"/>
  <c r="C114" i="1"/>
  <c r="B8" i="27" s="1"/>
  <c r="C113" i="1"/>
  <c r="B8" i="38" s="1"/>
  <c r="C112" i="1"/>
  <c r="B12" i="12" s="1"/>
  <c r="C111" i="1"/>
  <c r="B11" i="12" s="1"/>
  <c r="C108" i="1"/>
  <c r="B14" i="24" s="1"/>
  <c r="C107" i="1"/>
  <c r="B14" i="29" s="1"/>
  <c r="C106" i="1"/>
  <c r="B4" i="22" s="1"/>
  <c r="C105" i="1"/>
  <c r="B9" i="16" s="1"/>
  <c r="C104" i="1"/>
  <c r="C103" i="1"/>
  <c r="C99" i="1"/>
  <c r="C98" i="1"/>
  <c r="B3" i="7" s="1"/>
  <c r="C97" i="1"/>
  <c r="B12" i="10" s="1"/>
  <c r="C96" i="1"/>
  <c r="B9" i="5" s="1"/>
  <c r="C95" i="1"/>
  <c r="B8" i="5" s="1"/>
  <c r="C93" i="1"/>
  <c r="B4" i="5" s="1"/>
  <c r="C92" i="1"/>
  <c r="B3" i="29" s="1"/>
  <c r="C91" i="1"/>
  <c r="B3" i="16" s="1"/>
  <c r="C90" i="1"/>
  <c r="B21" i="38" s="1"/>
  <c r="C89" i="1"/>
  <c r="B19" i="3" s="1"/>
  <c r="C88" i="1"/>
  <c r="B28" i="19" s="1"/>
  <c r="C87" i="1"/>
  <c r="B22" i="39" s="1"/>
  <c r="C86" i="1"/>
  <c r="B27" i="19" s="1"/>
  <c r="C82" i="1"/>
  <c r="B16" i="20" s="1"/>
  <c r="C81" i="1"/>
  <c r="B4" i="21" s="1"/>
  <c r="C80" i="1"/>
  <c r="B10" i="12" s="1"/>
  <c r="C77" i="1"/>
  <c r="B11" i="19" s="1"/>
  <c r="C76" i="1"/>
  <c r="C75" i="1"/>
  <c r="B7" i="18" s="1"/>
  <c r="C74" i="1"/>
  <c r="B3" i="27" s="1"/>
  <c r="B29" i="38"/>
  <c r="C70" i="1"/>
  <c r="B4" i="2" s="1"/>
  <c r="C69" i="1"/>
  <c r="B3" i="19" s="1"/>
  <c r="C68" i="1"/>
  <c r="B14" i="14" s="1"/>
  <c r="C67" i="1"/>
  <c r="B10" i="33" s="1"/>
  <c r="C66" i="1"/>
  <c r="B9" i="2" s="1"/>
  <c r="C65" i="1"/>
  <c r="B8" i="2" s="1"/>
  <c r="C64" i="1"/>
  <c r="B12" i="25" s="1"/>
  <c r="C63" i="1"/>
  <c r="B25" i="9" s="1"/>
  <c r="C62" i="1"/>
  <c r="B4" i="9" s="1"/>
  <c r="C61" i="1"/>
  <c r="B5" i="6" s="1"/>
  <c r="C60" i="1"/>
  <c r="B4" i="6" s="1"/>
  <c r="C59" i="1"/>
  <c r="B20" i="32" s="1"/>
  <c r="C58" i="1"/>
  <c r="B26" i="19" s="1"/>
  <c r="C57" i="1"/>
  <c r="B13" i="24" s="1"/>
  <c r="C56" i="1"/>
  <c r="B21" i="39" s="1"/>
  <c r="C55" i="1"/>
  <c r="B12" i="21" s="1"/>
  <c r="C54" i="1"/>
  <c r="B14" i="5" s="1"/>
  <c r="C52" i="1"/>
  <c r="B3" i="5" s="1"/>
  <c r="C51" i="1"/>
  <c r="C50" i="1"/>
  <c r="B10" i="19" s="1"/>
  <c r="C49" i="1"/>
  <c r="B11" i="31" s="1"/>
  <c r="C48" i="1"/>
  <c r="B3" i="15" s="1"/>
  <c r="C40" i="1"/>
  <c r="B13" i="28" s="1"/>
  <c r="C39" i="1"/>
  <c r="B7" i="33" s="1"/>
  <c r="C38" i="1"/>
  <c r="B11" i="5" s="1"/>
  <c r="C34" i="1"/>
  <c r="B9" i="29" s="1"/>
  <c r="C32" i="1"/>
  <c r="B16" i="4" s="1"/>
  <c r="C31" i="1"/>
  <c r="B8" i="4" s="1"/>
  <c r="C29" i="1"/>
  <c r="B3" i="4" s="1"/>
  <c r="C28" i="1"/>
  <c r="B14" i="4" s="1"/>
  <c r="C27" i="1"/>
  <c r="B8" i="12" s="1"/>
  <c r="C25" i="1"/>
  <c r="B23" i="3" s="1"/>
  <c r="C24" i="1"/>
  <c r="B17" i="3" s="1"/>
  <c r="C23" i="1"/>
  <c r="B17" i="22" s="1"/>
  <c r="C22" i="1"/>
  <c r="B3" i="25" s="1"/>
  <c r="C21" i="1"/>
  <c r="B20" i="38" s="1"/>
  <c r="C19" i="1"/>
  <c r="B3" i="2" s="1"/>
  <c r="C18" i="1"/>
  <c r="B6" i="37" s="1"/>
  <c r="C17" i="1"/>
  <c r="B3" i="39" s="1"/>
  <c r="C16" i="1"/>
  <c r="B3" i="3" s="1"/>
  <c r="C15" i="1"/>
  <c r="B3" i="34" s="1"/>
  <c r="C14" i="1"/>
  <c r="B17" i="34" s="1"/>
  <c r="C13" i="1"/>
  <c r="B20" i="39" s="1"/>
  <c r="C10" i="1"/>
  <c r="B3" i="22" s="1"/>
  <c r="C8" i="1"/>
  <c r="B25" i="19" s="1"/>
  <c r="C7" i="1"/>
  <c r="B9" i="3" s="1"/>
  <c r="C6" i="1"/>
  <c r="B7" i="21" s="1"/>
  <c r="C5" i="1"/>
  <c r="B7" i="39" s="1"/>
  <c r="C4" i="1"/>
  <c r="B6" i="14" s="1"/>
  <c r="C3" i="1"/>
  <c r="B6" i="39" s="1"/>
  <c r="C2" i="1"/>
  <c r="B6" i="2" s="1"/>
  <c r="B15" i="5" l="1"/>
  <c r="B5" i="5"/>
  <c r="B18" i="11"/>
  <c r="B6" i="6"/>
  <c r="B5" i="10"/>
  <c r="B13" i="12"/>
  <c r="B14" i="10"/>
  <c r="B8" i="11"/>
  <c r="B6" i="3"/>
  <c r="B10" i="8"/>
  <c r="B7" i="10"/>
  <c r="B16" i="32"/>
  <c r="B15" i="6"/>
  <c r="B6" i="9"/>
  <c r="B11" i="15"/>
  <c r="B13" i="19"/>
  <c r="B6" i="5"/>
  <c r="B18" i="22"/>
  <c r="B26" i="9"/>
  <c r="B3" i="28"/>
  <c r="B8" i="6"/>
  <c r="B8" i="15"/>
  <c r="B3" i="20"/>
  <c r="B15" i="11"/>
  <c r="B21" i="9"/>
  <c r="B3" i="6"/>
  <c r="B11" i="8"/>
  <c r="B24" i="9"/>
  <c r="B4" i="4"/>
  <c r="B4" i="11"/>
  <c r="B13" i="36"/>
  <c r="B20" i="5"/>
  <c r="B5" i="9"/>
  <c r="B16" i="11"/>
  <c r="B6" i="18"/>
  <c r="B4" i="16"/>
  <c r="B17" i="6"/>
  <c r="B12" i="8"/>
  <c r="B8" i="9"/>
  <c r="B4" i="18"/>
  <c r="B6" i="7"/>
  <c r="B14" i="11"/>
  <c r="B7" i="20"/>
  <c r="B3" i="9"/>
  <c r="B11" i="6"/>
  <c r="B4" i="7"/>
  <c r="B6" i="15"/>
  <c r="B32" i="19"/>
  <c r="B5" i="20"/>
  <c r="B22" i="21"/>
  <c r="B20" i="22"/>
  <c r="B7" i="31"/>
  <c r="B14" i="32"/>
  <c r="B13" i="33"/>
  <c r="B11" i="36"/>
  <c r="B5" i="11"/>
  <c r="B10" i="11"/>
  <c r="B15" i="14"/>
  <c r="B6" i="17"/>
  <c r="B21" i="19"/>
  <c r="B15" i="20"/>
  <c r="B10" i="21"/>
  <c r="B7" i="24"/>
  <c r="B10" i="25"/>
  <c r="B8" i="26"/>
  <c r="B6" i="27"/>
  <c r="B10" i="28"/>
  <c r="B4" i="30"/>
  <c r="B29" i="34"/>
  <c r="B5" i="35"/>
  <c r="B4" i="38"/>
  <c r="B13" i="38"/>
  <c r="B30" i="19"/>
  <c r="B13" i="23"/>
  <c r="B17" i="27"/>
  <c r="B5" i="31"/>
  <c r="B11" i="33"/>
  <c r="B16" i="34"/>
  <c r="B8" i="36"/>
  <c r="B13" i="14"/>
  <c r="B15" i="15"/>
  <c r="B9" i="18"/>
  <c r="B17" i="19"/>
  <c r="B11" i="20"/>
  <c r="B6" i="22"/>
  <c r="B5" i="24"/>
  <c r="B7" i="25"/>
  <c r="B6" i="26"/>
  <c r="B4" i="27"/>
  <c r="B8" i="28"/>
  <c r="B5" i="34"/>
  <c r="B4" i="37"/>
  <c r="B16" i="5"/>
  <c r="B21" i="5"/>
  <c r="B9" i="6"/>
  <c r="B16" i="6"/>
  <c r="B7" i="7"/>
  <c r="B22" i="3"/>
  <c r="B17" i="4"/>
  <c r="B6" i="12"/>
  <c r="B16" i="16"/>
  <c r="B15" i="17"/>
  <c r="B7" i="19"/>
  <c r="B18" i="21"/>
  <c r="B11" i="23"/>
  <c r="B18" i="25"/>
  <c r="B3" i="31"/>
  <c r="B9" i="32"/>
  <c r="B36" i="34"/>
  <c r="B15" i="37"/>
  <c r="B5" i="3"/>
  <c r="B3" i="11"/>
  <c r="B13" i="15"/>
  <c r="B10" i="20"/>
  <c r="B5" i="21"/>
  <c r="B3" i="24"/>
  <c r="B5" i="25"/>
  <c r="B6" i="28"/>
  <c r="B5" i="29"/>
  <c r="B22" i="34"/>
  <c r="B10" i="39"/>
  <c r="B32" i="39"/>
  <c r="B11" i="9"/>
  <c r="B7" i="5"/>
  <c r="B7" i="8"/>
  <c r="B22" i="9"/>
  <c r="B3" i="10"/>
  <c r="B6" i="13"/>
  <c r="B13" i="16"/>
  <c r="B20" i="20"/>
  <c r="B8" i="23"/>
  <c r="B16" i="25"/>
  <c r="B15" i="26"/>
  <c r="B17" i="29"/>
  <c r="B7" i="32"/>
  <c r="B12" i="34"/>
  <c r="B3" i="36"/>
  <c r="B12" i="37"/>
  <c r="B4" i="15"/>
  <c r="B10" i="3"/>
  <c r="B19" i="5"/>
  <c r="B24" i="5"/>
  <c r="B7" i="6"/>
  <c r="B5" i="7"/>
  <c r="B15" i="10"/>
  <c r="B19" i="11"/>
  <c r="B9" i="15"/>
  <c r="B5" i="18"/>
  <c r="B14" i="19"/>
  <c r="B3" i="21"/>
  <c r="B23" i="22"/>
  <c r="B4" i="28"/>
  <c r="B27" i="29"/>
  <c r="B17" i="32"/>
  <c r="B9" i="39"/>
  <c r="B20" i="3"/>
  <c r="B13" i="7"/>
  <c r="B3" i="12"/>
  <c r="B3" i="13"/>
  <c r="B10" i="16"/>
  <c r="B9" i="17"/>
  <c r="B14" i="21"/>
  <c r="B11" i="22"/>
  <c r="B14" i="25"/>
  <c r="B9" i="27"/>
  <c r="B15" i="28"/>
  <c r="B15" i="29"/>
  <c r="B5" i="32"/>
  <c r="B3" i="33"/>
  <c r="B7" i="38"/>
  <c r="B14" i="3"/>
  <c r="B14" i="9"/>
  <c r="B6" i="11"/>
  <c r="B7" i="15"/>
  <c r="B3" i="18"/>
  <c r="B6" i="20"/>
  <c r="B16" i="23"/>
  <c r="B15" i="32"/>
  <c r="B19" i="34"/>
  <c r="B12" i="36"/>
  <c r="B4" i="8"/>
  <c r="B6" i="10"/>
  <c r="B21" i="10"/>
  <c r="B16" i="14"/>
  <c r="B8" i="16"/>
  <c r="B7" i="17"/>
  <c r="B22" i="19"/>
  <c r="B3" i="23"/>
  <c r="B8" i="24"/>
  <c r="B7" i="27"/>
  <c r="B3" i="32"/>
  <c r="B30" i="34"/>
  <c r="B15" i="38"/>
  <c r="B6" i="4"/>
  <c r="B17" i="5"/>
  <c r="B22" i="5"/>
  <c r="B29" i="5"/>
  <c r="B10" i="6"/>
  <c r="B13" i="10"/>
  <c r="B5" i="15"/>
  <c r="B19" i="16"/>
  <c r="B4" i="20"/>
  <c r="B6" i="31"/>
  <c r="B18" i="37"/>
  <c r="B5" i="39"/>
  <c r="B13" i="4"/>
  <c r="B6" i="24"/>
  <c r="B7" i="26"/>
  <c r="B5" i="27"/>
  <c r="B9" i="28"/>
  <c r="B3" i="30"/>
  <c r="B4" i="35"/>
  <c r="B3" i="38"/>
  <c r="B7" i="36"/>
  <c r="B16" i="37"/>
  <c r="B24" i="39"/>
  <c r="B30" i="3"/>
  <c r="B14" i="15"/>
  <c r="B3" i="17"/>
  <c r="B8" i="18"/>
  <c r="B15" i="18"/>
  <c r="B47" i="19"/>
  <c r="B38" i="19"/>
  <c r="B6" i="21"/>
  <c r="B5" i="22"/>
  <c r="B6" i="25"/>
  <c r="B7" i="28"/>
  <c r="B4" i="34"/>
  <c r="B35" i="34"/>
  <c r="B4" i="36"/>
  <c r="B36" i="19"/>
  <c r="B4" i="25"/>
  <c r="B3" i="26"/>
  <c r="B4" i="29"/>
  <c r="B13" i="31"/>
  <c r="B19" i="38"/>
  <c r="B9" i="4"/>
  <c r="B7" i="11"/>
  <c r="B11" i="17"/>
  <c r="B14" i="26"/>
  <c r="B7" i="4"/>
</calcChain>
</file>

<file path=xl/sharedStrings.xml><?xml version="1.0" encoding="utf-8"?>
<sst xmlns="http://schemas.openxmlformats.org/spreadsheetml/2006/main" count="3620" uniqueCount="1861">
  <si>
    <t xml:space="preserve">FIRST </t>
  </si>
  <si>
    <t>LAST</t>
  </si>
  <si>
    <t>NAME</t>
  </si>
  <si>
    <t>ORGANIZATION</t>
  </si>
  <si>
    <t>ADDRESS</t>
  </si>
  <si>
    <t>CITY</t>
  </si>
  <si>
    <t>STATE</t>
  </si>
  <si>
    <t>ZIP</t>
  </si>
  <si>
    <t>TELEPHONE</t>
  </si>
  <si>
    <t>EMAIL</t>
  </si>
  <si>
    <t>NOTIFICATION PREFERENCES</t>
  </si>
  <si>
    <t>NEIGHBORHOOD OF INTEREST</t>
  </si>
  <si>
    <t>Aaron</t>
  </si>
  <si>
    <t>Peskin</t>
  </si>
  <si>
    <t>-</t>
  </si>
  <si>
    <t>470 Columbus Avenue, Ste. 211</t>
  </si>
  <si>
    <t>San Francisco</t>
  </si>
  <si>
    <t>CA</t>
  </si>
  <si>
    <t>94133</t>
  </si>
  <si>
    <t>415-986-7014</t>
  </si>
  <si>
    <t>aaron.peskin@earthlink.net</t>
  </si>
  <si>
    <t>Physical</t>
  </si>
  <si>
    <t>Citywide</t>
  </si>
  <si>
    <t>Barry</t>
  </si>
  <si>
    <t>Perkins</t>
  </si>
  <si>
    <t>2140 Pine Street</t>
  </si>
  <si>
    <t>415-990-0234</t>
  </si>
  <si>
    <t>barry_perkins@yahoo.com</t>
  </si>
  <si>
    <t>Western Addition</t>
  </si>
  <si>
    <t>Marianne</t>
  </si>
  <si>
    <t>Hesse</t>
  </si>
  <si>
    <t>101 Belvedere Street</t>
  </si>
  <si>
    <t>415-665-3657</t>
  </si>
  <si>
    <t>mhesse@pacbell.net</t>
  </si>
  <si>
    <t>Haight Ashbury</t>
  </si>
  <si>
    <t>Sue</t>
  </si>
  <si>
    <t>Hestor</t>
  </si>
  <si>
    <t>94102</t>
  </si>
  <si>
    <t>hestor@earthlink.net</t>
  </si>
  <si>
    <t>James</t>
  </si>
  <si>
    <t>Fisher</t>
  </si>
  <si>
    <t>10495 N De Anza Blvd MS 74-2RC</t>
  </si>
  <si>
    <t>Cupertino</t>
  </si>
  <si>
    <t>262-352-9498</t>
  </si>
  <si>
    <t>j.benjamin.fisher@gmail.com</t>
  </si>
  <si>
    <t>Georgia</t>
  </si>
  <si>
    <t>Schuttish</t>
  </si>
  <si>
    <t>460 Duncan Street</t>
  </si>
  <si>
    <t>schuttishtr@sbcglobal.net</t>
  </si>
  <si>
    <t>Noe Valley</t>
  </si>
  <si>
    <t>Russel</t>
  </si>
  <si>
    <t>Morine</t>
  </si>
  <si>
    <t>64 Gillette Avenue</t>
  </si>
  <si>
    <t xml:space="preserve">San Francisco </t>
  </si>
  <si>
    <t>415-740-4014</t>
  </si>
  <si>
    <t>rmorine@aol.com</t>
  </si>
  <si>
    <t>Bayview</t>
  </si>
  <si>
    <t>Edward</t>
  </si>
  <si>
    <t>Stiel</t>
  </si>
  <si>
    <t>2887 Folsom Street Concerned Residents</t>
  </si>
  <si>
    <t>2887 Folsom Street</t>
  </si>
  <si>
    <t>415-282-5393</t>
  </si>
  <si>
    <t>eddiestiel@yahoo.com</t>
  </si>
  <si>
    <t>Electronic</t>
  </si>
  <si>
    <t>Mission</t>
  </si>
  <si>
    <t>Michelle Brown</t>
  </si>
  <si>
    <t>318 Frederick St. Tenancy In Common Owner's Association and Board</t>
  </si>
  <si>
    <t>318 Frederick Street</t>
  </si>
  <si>
    <t>415-608-3945</t>
  </si>
  <si>
    <t>brownmi@stanford.edu</t>
  </si>
  <si>
    <t>Jeffrey</t>
  </si>
  <si>
    <t>Kwong</t>
  </si>
  <si>
    <t>District 3 Tenants</t>
  </si>
  <si>
    <t>1754 Hyde Street</t>
  </si>
  <si>
    <t>415-290-5595</t>
  </si>
  <si>
    <t>cardinalsf@gmail.com</t>
  </si>
  <si>
    <t>Chinatown, Downtown Civic Center, Financial District, Nob Hill, North Beach</t>
  </si>
  <si>
    <t xml:space="preserve">Sara </t>
  </si>
  <si>
    <t>Bartholomew</t>
  </si>
  <si>
    <t xml:space="preserve">Marilyn Hersh
</t>
  </si>
  <si>
    <t>19th Street/Oakwood Neighborhood Association</t>
  </si>
  <si>
    <t>3696 19th Street</t>
  </si>
  <si>
    <t>hershmari@gmail.com</t>
  </si>
  <si>
    <t>Leslie Chin</t>
  </si>
  <si>
    <t>41 Oakwood</t>
  </si>
  <si>
    <t>lchinflute@gmail.com</t>
  </si>
  <si>
    <t>ASNA</t>
  </si>
  <si>
    <t>Board</t>
  </si>
  <si>
    <t>Alamo Square Neighborhood Assocation</t>
  </si>
  <si>
    <t>530 Divisadero Street #176</t>
  </si>
  <si>
    <t>415-271-5691</t>
  </si>
  <si>
    <t>board@alamosq.org</t>
  </si>
  <si>
    <t>Michael</t>
  </si>
  <si>
    <t>Nulty</t>
  </si>
  <si>
    <t>Alliance for a Better District 6</t>
  </si>
  <si>
    <t>P.O. Box 420782</t>
  </si>
  <si>
    <t>415-339-8779</t>
  </si>
  <si>
    <t>sf_district6@yahoo.com</t>
  </si>
  <si>
    <t>Downtown/Civic Center, Financial District, Mission, Nob Hill, South of Market, Treasure Island, Western Addition</t>
  </si>
  <si>
    <t>Laura</t>
  </si>
  <si>
    <t>Magnani</t>
  </si>
  <si>
    <t>American Friends Service Committee</t>
  </si>
  <si>
    <t>65 Ninth Street</t>
  </si>
  <si>
    <t>94103</t>
  </si>
  <si>
    <t>415-565-0201</t>
  </si>
  <si>
    <t>sfoffice@afsc.org</t>
  </si>
  <si>
    <t>South of Market</t>
  </si>
  <si>
    <t>Linda</t>
  </si>
  <si>
    <t>Burton</t>
  </si>
  <si>
    <t>Anna Waden Library</t>
  </si>
  <si>
    <t>5075 3rd Street</t>
  </si>
  <si>
    <t>94124</t>
  </si>
  <si>
    <t>415-715-4100</t>
  </si>
  <si>
    <t>Al</t>
  </si>
  <si>
    <t>Sodini</t>
  </si>
  <si>
    <t>Anza Vista Civic Improvement Club</t>
  </si>
  <si>
    <t>140 Terra Vista Avenue</t>
  </si>
  <si>
    <t>415-921-5131</t>
  </si>
  <si>
    <t>ducha931@aol.com</t>
  </si>
  <si>
    <t>Asian Pacific American Community Center</t>
  </si>
  <si>
    <t>50 Raymond Ave</t>
  </si>
  <si>
    <t>415-587-2689</t>
  </si>
  <si>
    <t>info@apaccsf.org</t>
  </si>
  <si>
    <t>Visitacion Valley</t>
  </si>
  <si>
    <t>Construction</t>
  </si>
  <si>
    <t>and Engineering</t>
  </si>
  <si>
    <t>AT&amp;T</t>
  </si>
  <si>
    <t>359 Washington Street, Room 205</t>
  </si>
  <si>
    <t>Daly City</t>
  </si>
  <si>
    <t>SatKartar Khalsa</t>
  </si>
  <si>
    <t>Avila Street Corridor</t>
  </si>
  <si>
    <t>333 Avila Street</t>
  </si>
  <si>
    <t>415-810-2246</t>
  </si>
  <si>
    <t>avilastreetcorridor@gmail.com</t>
  </si>
  <si>
    <t>Marina</t>
  </si>
  <si>
    <t>of Directors</t>
  </si>
  <si>
    <t>Balboa Terrace Homes Association</t>
  </si>
  <si>
    <t>P.O. Box 27642</t>
  </si>
  <si>
    <t>94127</t>
  </si>
  <si>
    <t>415-279-9530</t>
  </si>
  <si>
    <t>bthaboard@balboaterrace.org</t>
  </si>
  <si>
    <t>West of Twin Peaks</t>
  </si>
  <si>
    <t>Yuka</t>
  </si>
  <si>
    <t>Ioroi</t>
  </si>
  <si>
    <t>Balboa Village Merchants Association</t>
  </si>
  <si>
    <t>3519 Balboa Street</t>
  </si>
  <si>
    <t>626-419-2190</t>
  </si>
  <si>
    <t>yukaioroi@gmail.com</t>
  </si>
  <si>
    <t>Outer Richmond</t>
  </si>
  <si>
    <t>Diana</t>
  </si>
  <si>
    <t>Taylor</t>
  </si>
  <si>
    <t>Barbary Coast Neighborhood Association</t>
  </si>
  <si>
    <t>P.O. Box 2045</t>
  </si>
  <si>
    <t>bcna@bcnasf.org</t>
  </si>
  <si>
    <t>Financial District, North Beach</t>
  </si>
  <si>
    <t>Daniel</t>
  </si>
  <si>
    <t>Dodt</t>
  </si>
  <si>
    <t>BayView Community Planning</t>
  </si>
  <si>
    <t>2027 Oakdale Avenue</t>
  </si>
  <si>
    <t>415-730-2071</t>
  </si>
  <si>
    <t>bvhpwatch@mac.com</t>
  </si>
  <si>
    <t>Secretary</t>
  </si>
  <si>
    <t>Bayview Hill Neighborhood Association</t>
  </si>
  <si>
    <t>bvhna.secretary@gmail.com
bayviewhillsf@gmail.com</t>
  </si>
  <si>
    <t>Philip</t>
  </si>
  <si>
    <t>Williams</t>
  </si>
  <si>
    <t>Bayview Hunters Point Citizens Advisory Committee</t>
  </si>
  <si>
    <t>1550 Evans Avenue</t>
  </si>
  <si>
    <t xml:space="preserve">bayviewcac@sfgov.org </t>
  </si>
  <si>
    <t>Sophie</t>
  </si>
  <si>
    <t>Constantinou</t>
  </si>
  <si>
    <t>Bernal Cut Neighborhood Alliace</t>
  </si>
  <si>
    <t>22 Richland Avenue</t>
  </si>
  <si>
    <t>415-378-6085</t>
  </si>
  <si>
    <t>bernalcutpath@gmail.com</t>
  </si>
  <si>
    <t>Bernal Heights, Glen Park</t>
  </si>
  <si>
    <t>Wendy</t>
  </si>
  <si>
    <t>Cowles</t>
  </si>
  <si>
    <t>Bernal Heights East Slope Design Review Board</t>
  </si>
  <si>
    <t>89 Banks Street</t>
  </si>
  <si>
    <t>bhesdrb@gmail.com</t>
  </si>
  <si>
    <t>Bernal Heights</t>
  </si>
  <si>
    <t>Rachel</t>
  </si>
  <si>
    <t>Ebora</t>
  </si>
  <si>
    <t>Bernal Heights Housing Corporation</t>
  </si>
  <si>
    <t>515 Cortland Avenue</t>
  </si>
  <si>
    <t>94110</t>
  </si>
  <si>
    <t>Barbara</t>
  </si>
  <si>
    <t>Lopez</t>
  </si>
  <si>
    <t>Sulaiman Hyatt</t>
  </si>
  <si>
    <t>Bernal Heights Neighborhood Center</t>
  </si>
  <si>
    <t>1591 Treat Avenue</t>
  </si>
  <si>
    <t>415-206-2140</t>
  </si>
  <si>
    <t>shyatt@bhnc.org</t>
  </si>
  <si>
    <t>Andre</t>
  </si>
  <si>
    <t>Rothblatt</t>
  </si>
  <si>
    <t>Bernal Heights Preservation</t>
  </si>
  <si>
    <t>475 Nevada Street</t>
  </si>
  <si>
    <t>415-626-5112</t>
  </si>
  <si>
    <t>arothblatt@aol.com</t>
  </si>
  <si>
    <t>Kathy</t>
  </si>
  <si>
    <t>Angus</t>
  </si>
  <si>
    <t>Bernal Heights South Slope Organization</t>
  </si>
  <si>
    <t>99 Banks Street</t>
  </si>
  <si>
    <t>415-282-9223</t>
  </si>
  <si>
    <t>kathyangus@gmail.com</t>
  </si>
  <si>
    <t>Josephine Zhao</t>
  </si>
  <si>
    <t>Better Housing Policies</t>
  </si>
  <si>
    <t>945 Taraval Street</t>
  </si>
  <si>
    <t>415-871-5715</t>
  </si>
  <si>
    <t>info@betterhousingpolicies.org</t>
  </si>
  <si>
    <t>Excelsior, Outer Richmond, Outer Sunset, Parkside, Visitacion Valley</t>
  </si>
  <si>
    <t>Shamann</t>
  </si>
  <si>
    <t>Walton</t>
  </si>
  <si>
    <t>Board of Supervisors</t>
  </si>
  <si>
    <t>1 Dr. Carlton B Goodlett Place, Room #244</t>
  </si>
  <si>
    <t>94102-4689</t>
  </si>
  <si>
    <t>waltonstaff@sfgov.org; Percy.Burch@sfgov.org; Tracy.Gallardo@sfgov.org; Natalie.Gee@sfgov.org</t>
  </si>
  <si>
    <t>Both</t>
  </si>
  <si>
    <t>Bayview, Potrero Hill, Visitacion Valley</t>
  </si>
  <si>
    <t>Dean</t>
  </si>
  <si>
    <t>Preston</t>
  </si>
  <si>
    <t>Bilal Mahmood</t>
  </si>
  <si>
    <t xml:space="preserve">MahmoodStaff@sfgov.org; Raynell.Cooper@sfgov.org
</t>
  </si>
  <si>
    <t>Downtown/Civic Center, Haight Ashbury, Western Addition</t>
  </si>
  <si>
    <t>Danny Sauter</t>
  </si>
  <si>
    <t>SauterStaff@sfgov.org;
Michelle.Andrews@sfgov.org; Amy.Lee5@sfgov.org; tita.bell@sfgov.org; tomio.nagano@sfgov.org</t>
  </si>
  <si>
    <t>Chinatown, Financial District, Nob Hill, North Beach, Russian Hill</t>
  </si>
  <si>
    <t>Ahsha</t>
  </si>
  <si>
    <t>Safai</t>
  </si>
  <si>
    <t>Chyanne Chen</t>
  </si>
  <si>
    <t>ChenStaff@sfgov.org;
Charlie.Sciammas@sfgov.org</t>
  </si>
  <si>
    <t>Crocker Amazon, Excelsior, Outer Mission, Visitacion Valley</t>
  </si>
  <si>
    <t>Rafael</t>
  </si>
  <si>
    <t>Mandelman</t>
  </si>
  <si>
    <t>Rafael.Mandelman@sfgov.org;
Kyle.Smeallie@sfgov.org;
Tom.Temprano@sfgov.org;
jacob.bintliff@sfgov.org; 
mandelmanstaff@sfgov.org</t>
  </si>
  <si>
    <t>Castro/Upper Market, Diamond Heights, Glen Park, Noe Valley, Twin Peaks</t>
  </si>
  <si>
    <t>Connie</t>
  </si>
  <si>
    <t xml:space="preserve">Chan </t>
  </si>
  <si>
    <t>connie.chan@sfgov.org;
ian.fregosi@sfgov.org;
frances.hsieh@sfgov.org;
kelly.groth@sfgov.org;
angelina.yu@sfgov.org;
ChanStaff@sfgov.org</t>
  </si>
  <si>
    <t>Inner Richmond, Outer Richmond, Seacliff</t>
  </si>
  <si>
    <t>Myrna</t>
  </si>
  <si>
    <t>Melgar</t>
  </si>
  <si>
    <t>myrna.melgar@sfgov.org;
Jennifer.Fieber@sfgov.org;
Megan.Imperial@sfgov.org;
Lila.Carrillo@sfgov.org;
Jen.Low@sfgov.org;
melgarstaff@sfgov.org</t>
  </si>
  <si>
    <t>Inner Sunset, Lakeshore, Ocean View, Parkside, Twin Peaks, West of Twin Peaks</t>
  </si>
  <si>
    <t>Catherine</t>
  </si>
  <si>
    <t>Stefani</t>
  </si>
  <si>
    <t>Stephen Sherrill</t>
  </si>
  <si>
    <t>SherrillStaff@sfgov.org; 
Lorenzo.Rosas@sfgov.org</t>
  </si>
  <si>
    <t>Marina, Pacific Heights, Presidio, Presidio Heights, Russian Hill, Seacliff, Western Addition</t>
  </si>
  <si>
    <t>Gordon</t>
  </si>
  <si>
    <t>Mar</t>
  </si>
  <si>
    <t>Alan Wong</t>
  </si>
  <si>
    <t>Tiff.Lee@sfgov.org;
Jessica.Cen@sfgov.org;
Andrew.Sinn@sfgov.org;
Derek.Lee@sfgov.org;
WongStaff@sfgov.org</t>
  </si>
  <si>
    <t>Lakeshore, Outer Sunset, Parkside</t>
  </si>
  <si>
    <t>Matt</t>
  </si>
  <si>
    <t>Haney</t>
  </si>
  <si>
    <t>Matt Dorsey</t>
  </si>
  <si>
    <t xml:space="preserve">Board of Supervisors </t>
  </si>
  <si>
    <t>DorseyStaff@sfgov.org; Madison.R.Tam@sfgov.org; Bryan.Dahl@sfgov.org; Leo.Alfaro@sfgov.org</t>
  </si>
  <si>
    <t>Downtown/Civic Center, South of Market, Treasure Island/YBI</t>
  </si>
  <si>
    <t>Jackie Fielder</t>
  </si>
  <si>
    <t>FielderStaff@sfgov.org;
Ana.Herrera@sfgov.org;
Preston.Kilgore@sfgov.org</t>
  </si>
  <si>
    <t>Bernal Heights, Excelsior, Mission, Visitacion Valley</t>
  </si>
  <si>
    <t>Jon Henry</t>
  </si>
  <si>
    <t>Both Sides of the Conversation</t>
  </si>
  <si>
    <t>P.O. Box 347518</t>
  </si>
  <si>
    <t>415-913-9034</t>
  </si>
  <si>
    <t>jonhenry@bsotc.org</t>
  </si>
  <si>
    <t>Bayview, Bernal Heights, Crocker Amazon, Downtown/Civic Center, Excelsior, Glen Park, Haight Ashbury, Potrero Hill, South of Market, Treasure Island, Visitacion Valley, West of Twin Peaks, Western Addition</t>
  </si>
  <si>
    <t>Dr. Jacques Benghiat</t>
  </si>
  <si>
    <t>Brannan Google Group</t>
  </si>
  <si>
    <t>219 Brannan Street, Unit 12D</t>
  </si>
  <si>
    <t>408-221-0796</t>
  </si>
  <si>
    <t>brannanowner@yahoo.com</t>
  </si>
  <si>
    <t>Rasheq Zarif</t>
  </si>
  <si>
    <t>Buena Vista Neighborhood Association</t>
  </si>
  <si>
    <t>1388 Haight Street #1236</t>
  </si>
  <si>
    <t>415-371-9307</t>
  </si>
  <si>
    <t>info@bvnasf.org</t>
  </si>
  <si>
    <t>Castro/Upper Market</t>
  </si>
  <si>
    <t>John</t>
  </si>
  <si>
    <t xml:space="preserve">Hou </t>
  </si>
  <si>
    <t>Cabrillo Alley Neighbors Association</t>
  </si>
  <si>
    <t>742 4th Avenue</t>
  </si>
  <si>
    <t>415-480-0369</t>
  </si>
  <si>
    <t>cabrillo-alley-neighbors-association@googlegroups.com</t>
  </si>
  <si>
    <t>Inner Richmond</t>
  </si>
  <si>
    <t>Alex</t>
  </si>
  <si>
    <t>Thompson</t>
  </si>
  <si>
    <t>California-Locust Block Neighbors Group</t>
  </si>
  <si>
    <t>433 Locust St.</t>
  </si>
  <si>
    <t>415-407-2775</t>
  </si>
  <si>
    <t>alexwt@me.com</t>
  </si>
  <si>
    <t>Presidio Heights</t>
  </si>
  <si>
    <t>Erick</t>
  </si>
  <si>
    <t>Arguello</t>
  </si>
  <si>
    <t>Calle 24 Latino Cultural District</t>
  </si>
  <si>
    <t>1065 A  Hampshire Street</t>
  </si>
  <si>
    <t>415-323-8939</t>
  </si>
  <si>
    <t>eriq94110@aol.com</t>
  </si>
  <si>
    <t>Leonard</t>
  </si>
  <si>
    <t>Basoco</t>
  </si>
  <si>
    <t>Carpenters Local 22</t>
  </si>
  <si>
    <t>2085 Third Street</t>
  </si>
  <si>
    <t>94107</t>
  </si>
  <si>
    <t>415-355-1322</t>
  </si>
  <si>
    <t>ASimi@nccrc.org</t>
  </si>
  <si>
    <t>Joe</t>
  </si>
  <si>
    <t>Curtin</t>
  </si>
  <si>
    <t>Castro Area Planning + Action</t>
  </si>
  <si>
    <t>584 Castro Street, Suite 169</t>
  </si>
  <si>
    <t>94114</t>
  </si>
  <si>
    <t>415-621-0120</t>
  </si>
  <si>
    <t>Jesse Sanford &amp; Stephen Torres</t>
  </si>
  <si>
    <t>Castro LGBTQ Cultural District</t>
  </si>
  <si>
    <t>1800 Market Street</t>
  </si>
  <si>
    <t>415-489-8761</t>
  </si>
  <si>
    <t>landuse@castrolgbtq.org</t>
  </si>
  <si>
    <t>Bernal Heights, Castro/Upper Market, Downtown/Civic Center, Mission, Noe Valley, South of Market</t>
  </si>
  <si>
    <t>Nikolas</t>
  </si>
  <si>
    <t>Blanchet</t>
  </si>
  <si>
    <t>Castro Merchants</t>
  </si>
  <si>
    <t>584 Castro Street #333</t>
  </si>
  <si>
    <t>415-431-2359</t>
  </si>
  <si>
    <t>info@castromerchants.com</t>
  </si>
  <si>
    <t>Andrea</t>
  </si>
  <si>
    <t>Aiello</t>
  </si>
  <si>
    <t>Castro Upper Market Community Benefit District</t>
  </si>
  <si>
    <t>693 14th Street</t>
  </si>
  <si>
    <t>415-500-1181</t>
  </si>
  <si>
    <t>ExecDirector@CastroCBD.org</t>
  </si>
  <si>
    <t>Castro/Upper Market, Haight Ashbury, Noe Valley</t>
  </si>
  <si>
    <t>Marlayne</t>
  </si>
  <si>
    <t>Morgan</t>
  </si>
  <si>
    <t>Cathedral Hill Neighbors Association</t>
  </si>
  <si>
    <t>1200 Gough Street, #17A</t>
  </si>
  <si>
    <t>415-572-8093</t>
  </si>
  <si>
    <t>marlayne16@gmail.com</t>
  </si>
  <si>
    <t>Downtown/Civic Center, Western Addition</t>
  </si>
  <si>
    <t>CNIA</t>
  </si>
  <si>
    <t>President</t>
  </si>
  <si>
    <t>Cayuga Improvement Association</t>
  </si>
  <si>
    <t>311 Foote Ave</t>
  </si>
  <si>
    <t>94112</t>
  </si>
  <si>
    <t>415-585-7021</t>
  </si>
  <si>
    <t xml:space="preserve">cayugaimprovement@gmail.com </t>
  </si>
  <si>
    <t>Excelsior, Outer Mission</t>
  </si>
  <si>
    <t>Zoee</t>
  </si>
  <si>
    <t>Astrachan</t>
  </si>
  <si>
    <t>Central 26th Street Neighborhood Coalition</t>
  </si>
  <si>
    <t>3441  26th Street</t>
  </si>
  <si>
    <t>415-285-3960</t>
  </si>
  <si>
    <t>za@intersticearchitects.com</t>
  </si>
  <si>
    <t>Malcom</t>
  </si>
  <si>
    <t>Yeung</t>
  </si>
  <si>
    <t>Chinatown Community Development Center (CCDC)</t>
  </si>
  <si>
    <t>615 Grant Avenue</t>
  </si>
  <si>
    <t>415-984-1462</t>
  </si>
  <si>
    <t>myeung@chinatowncdc.org; matthias.mormino@chinatowncdc.org; sharon.ng@chinatowncdc.org; tandchow@gmail.com;</t>
  </si>
  <si>
    <t xml:space="preserve"> </t>
  </si>
  <si>
    <t>Chinese Chamber of Commerce</t>
  </si>
  <si>
    <t>730 Sacramento Street</t>
  </si>
  <si>
    <t>94108</t>
  </si>
  <si>
    <t>415-982-3000</t>
  </si>
  <si>
    <t>Chinatown</t>
  </si>
  <si>
    <t xml:space="preserve">George  </t>
  </si>
  <si>
    <t>Chan</t>
  </si>
  <si>
    <t>Chinese Newcomers Service Center</t>
  </si>
  <si>
    <t>777 Stockton Street #104</t>
  </si>
  <si>
    <t>415-421-2111</t>
  </si>
  <si>
    <t>georgechan@chinesenewcomers.org</t>
  </si>
  <si>
    <t>Tracy</t>
  </si>
  <si>
    <t>Everwine</t>
  </si>
  <si>
    <t>Civic Center Community Benefit District</t>
  </si>
  <si>
    <t>234 Van Ness Avenue</t>
  </si>
  <si>
    <t>415-658-7979</t>
  </si>
  <si>
    <t>info@sfciviccenter.org</t>
  </si>
  <si>
    <t>Downtown/Civic Center</t>
  </si>
  <si>
    <t>Haas</t>
  </si>
  <si>
    <t>Civic Center Stakeholder Group</t>
  </si>
  <si>
    <t>100 Van Ness Avenue Apt 1906</t>
  </si>
  <si>
    <t>415-285-5048</t>
  </si>
  <si>
    <t>JWHaasESQ@AOL.com</t>
  </si>
  <si>
    <t>Cynthia</t>
  </si>
  <si>
    <t>Huie</t>
  </si>
  <si>
    <t>Clement Street Merchants Association</t>
  </si>
  <si>
    <t>219 Clement St.</t>
  </si>
  <si>
    <t>94118</t>
  </si>
  <si>
    <t>415-751-7505</t>
  </si>
  <si>
    <t>hello@clementstreetsf.com</t>
  </si>
  <si>
    <t>Mary</t>
  </si>
  <si>
    <t>Miles</t>
  </si>
  <si>
    <t>Coalition for Adequate Review</t>
  </si>
  <si>
    <t>364  Page Street, #36</t>
  </si>
  <si>
    <t xml:space="preserve">George Wooding / </t>
  </si>
  <si>
    <t>Rose Hillson</t>
  </si>
  <si>
    <t>Coalition for San Francisco Neighborhodos (CSFN)</t>
  </si>
  <si>
    <t>P.O. Box 156616</t>
  </si>
  <si>
    <t>94115-6616</t>
  </si>
  <si>
    <t>415-695-1393</t>
  </si>
  <si>
    <t>CSFNnotices@gmail.com</t>
  </si>
  <si>
    <t>Jason</t>
  </si>
  <si>
    <t>Jungreis</t>
  </si>
  <si>
    <t>Coalition to Save Ocean Beach / Friends of Sutro Park</t>
  </si>
  <si>
    <t>527 47th Avenue</t>
  </si>
  <si>
    <t>415-847-5133</t>
  </si>
  <si>
    <t>jasonzjungreis@gmail.com</t>
  </si>
  <si>
    <t>Golden Gate Park, Outer Richmond, Seacliff</t>
  </si>
  <si>
    <t>Carole</t>
  </si>
  <si>
    <t>Glosenger</t>
  </si>
  <si>
    <t>Cole Valley Improvement Association</t>
  </si>
  <si>
    <t>P.O. Box 170611</t>
  </si>
  <si>
    <t>415-431-1414</t>
  </si>
  <si>
    <t>cviasf@aol.com</t>
  </si>
  <si>
    <t>Buddy</t>
  </si>
  <si>
    <t>Choy</t>
  </si>
  <si>
    <t>Coleridge St. Neighbors</t>
  </si>
  <si>
    <t>157 Coleridge Street</t>
  </si>
  <si>
    <t>415-282-2990</t>
  </si>
  <si>
    <t>choytate@gmail.com</t>
  </si>
  <si>
    <t>Bernal Heights, Mission, Noe Valley</t>
  </si>
  <si>
    <t>Chuck</t>
  </si>
  <si>
    <t>Turner</t>
  </si>
  <si>
    <t>Community Design Center</t>
  </si>
  <si>
    <t>5 Thomas Mellon Circle, #128</t>
  </si>
  <si>
    <t>94134</t>
  </si>
  <si>
    <t>415-586-1235</t>
  </si>
  <si>
    <t>charles.turner@communitydesigncentersf.com</t>
  </si>
  <si>
    <t>Chandra LaBorde</t>
  </si>
  <si>
    <t>Comptons Community Land Trust</t>
  </si>
  <si>
    <t>80 Turk St</t>
  </si>
  <si>
    <t>San Franicsco</t>
  </si>
  <si>
    <t>510-960-9712</t>
  </si>
  <si>
    <t>admin@turkxtaylor.net</t>
  </si>
  <si>
    <t>Downtown / Civic Center</t>
  </si>
  <si>
    <t>Judi Gorski</t>
  </si>
  <si>
    <t>Concerned Residents of the Sunset</t>
  </si>
  <si>
    <t>2366 48th Avenue</t>
  </si>
  <si>
    <t>415-716-3004</t>
  </si>
  <si>
    <t>judigorski@gmail.com</t>
  </si>
  <si>
    <t>Outer Sunset</t>
  </si>
  <si>
    <t>William</t>
  </si>
  <si>
    <t>Holtzman</t>
  </si>
  <si>
    <t>Corbett Heights Neighbors</t>
  </si>
  <si>
    <t>P.O. Box 14493</t>
  </si>
  <si>
    <t>415-404-9960</t>
  </si>
  <si>
    <t>info@corbettneighbors.com</t>
  </si>
  <si>
    <t>Castro/Upper Market, Noe Valley, West of Twin Peaks</t>
  </si>
  <si>
    <t>Heffernan</t>
  </si>
  <si>
    <t>Cow Hollow Association</t>
  </si>
  <si>
    <t>2423 Green Street</t>
  </si>
  <si>
    <t>94123</t>
  </si>
  <si>
    <t>bjhassoc@comcast.net</t>
  </si>
  <si>
    <t>Marina, Pacific Heights</t>
  </si>
  <si>
    <t xml:space="preserve">Anne </t>
  </si>
  <si>
    <t>Bertrand</t>
  </si>
  <si>
    <t>1592 Union Street #500</t>
  </si>
  <si>
    <t>bossbien@aol.com </t>
  </si>
  <si>
    <t>Brooke</t>
  </si>
  <si>
    <t>Sampson</t>
  </si>
  <si>
    <t>brookesampson@yahoo.com</t>
  </si>
  <si>
    <t>Rick</t>
  </si>
  <si>
    <t>Hall</t>
  </si>
  <si>
    <t>Cultural Action Network</t>
  </si>
  <si>
    <t>2940 16th Street, #200-1</t>
  </si>
  <si>
    <t>415-967-0795</t>
  </si>
  <si>
    <t>rclistad@gmail.com</t>
  </si>
  <si>
    <t>Rigo</t>
  </si>
  <si>
    <t>Erica Zweig</t>
  </si>
  <si>
    <t>D4ward</t>
  </si>
  <si>
    <t>3832 Judah St</t>
  </si>
  <si>
    <t>D4ward.info@gmail.com</t>
  </si>
  <si>
    <t>Betsy</t>
  </si>
  <si>
    <t>Eddy</t>
  </si>
  <si>
    <t>Daniel Schereck</t>
  </si>
  <si>
    <t>Diamond Heights Community Association</t>
  </si>
  <si>
    <t>P.O. Box 31529</t>
  </si>
  <si>
    <t>415-867-5774</t>
  </si>
  <si>
    <t>dhcasf@gmail.com</t>
  </si>
  <si>
    <t>Diamond Heights, Glen Park, Noe Valley</t>
  </si>
  <si>
    <t>Carey</t>
  </si>
  <si>
    <t>Rutigliano</t>
  </si>
  <si>
    <t>Diamond Heights Homeowners Association (DHHOA)</t>
  </si>
  <si>
    <t>108 Everson Street</t>
  </si>
  <si>
    <t>94131</t>
  </si>
  <si>
    <t>415-250-9410</t>
  </si>
  <si>
    <t>careyruttig@yahoo.com</t>
  </si>
  <si>
    <t>Diamond Heights, Glen Park</t>
  </si>
  <si>
    <t>Judd</t>
  </si>
  <si>
    <t>Winick</t>
  </si>
  <si>
    <t>Diamond Street Neighborhood Association (DSNA)</t>
  </si>
  <si>
    <t>1615 Diamond Street</t>
  </si>
  <si>
    <t>415-648-4704</t>
  </si>
  <si>
    <t>chakabutt@yahoo.com</t>
  </si>
  <si>
    <t>Duncan</t>
  </si>
  <si>
    <t>Ley</t>
  </si>
  <si>
    <t>Discover Polk Community Benefit District</t>
  </si>
  <si>
    <t>P.O. Box 642097</t>
  </si>
  <si>
    <t>415-481-2845</t>
  </si>
  <si>
    <t>duncan@discoverpolk.org
ben@discoverpolk.org</t>
  </si>
  <si>
    <t>Nob Hill, Russian Hill</t>
  </si>
  <si>
    <t>Donovan Lacy</t>
  </si>
  <si>
    <t xml:space="preserve">Dogpatch &amp; NW Potrero Hill Green Benefit District </t>
  </si>
  <si>
    <t>1459 18th Street #369</t>
  </si>
  <si>
    <t xml:space="preserve">info@greenbenefit.org; 
donovan@greenbenefit.org </t>
  </si>
  <si>
    <t xml:space="preserve">Mission, Potrero Hill </t>
  </si>
  <si>
    <t>Joel D.</t>
  </si>
  <si>
    <t>Bean</t>
  </si>
  <si>
    <t>Michael Berkowitz</t>
  </si>
  <si>
    <t>Dogpatch Neighborhood Association</t>
  </si>
  <si>
    <t>1278 Minnesota Street</t>
  </si>
  <si>
    <t>917-660-0449</t>
  </si>
  <si>
    <t>info@dogpatchna.org; president@dogpatchna.org</t>
  </si>
  <si>
    <t>Bayview, Mission, Potrero Hill, South of Market</t>
  </si>
  <si>
    <t>206-910-9503</t>
  </si>
  <si>
    <t>vp@dogpatchna.org</t>
  </si>
  <si>
    <t>Planning and Land Use Committee</t>
  </si>
  <si>
    <t>Dolores Heights Improvement Club-DRC</t>
  </si>
  <si>
    <t>plu@doloresheights.org</t>
  </si>
  <si>
    <t>Castro/Upper Market, Mission, Noe Valley</t>
  </si>
  <si>
    <t>Kevin</t>
  </si>
  <si>
    <t>Riley</t>
  </si>
  <si>
    <t>Duboce Triangle Neighborhood Association</t>
  </si>
  <si>
    <t>2261 Market Street PMB #301</t>
  </si>
  <si>
    <t>415-295-1530</t>
  </si>
  <si>
    <t>landuse@dtna.org</t>
  </si>
  <si>
    <t>Castro/Upper Market, Western Addition</t>
  </si>
  <si>
    <t>Judith</t>
  </si>
  <si>
    <t>Berkowitz</t>
  </si>
  <si>
    <t>East Mission Improvement Association (EMIA)</t>
  </si>
  <si>
    <t>2940 16th Street Room 200-1 (second floor)</t>
  </si>
  <si>
    <t>zrants@gmail.com</t>
  </si>
  <si>
    <t>Earl</t>
  </si>
  <si>
    <t>Shaddix</t>
  </si>
  <si>
    <t>Economic Development on Third (EDoT)</t>
  </si>
  <si>
    <t>4800 Third Street #404</t>
  </si>
  <si>
    <t>415-756-3678</t>
  </si>
  <si>
    <t>earl@edotbayview.com</t>
  </si>
  <si>
    <t>Alice</t>
  </si>
  <si>
    <t>Aronow</t>
  </si>
  <si>
    <t>Edgehill Way Association</t>
  </si>
  <si>
    <t>100 Edgehill Way</t>
  </si>
  <si>
    <t>415-242-1454</t>
  </si>
  <si>
    <t>alicearonow@gmail.com</t>
  </si>
  <si>
    <t>Sarah</t>
  </si>
  <si>
    <t>Jones</t>
  </si>
  <si>
    <t>Edgewood Neighborhood Association</t>
  </si>
  <si>
    <t>190 Edgewood Ave</t>
  </si>
  <si>
    <t>94117</t>
  </si>
  <si>
    <t>(415) 504-7233</t>
  </si>
  <si>
    <t>sarahsmithjones@gmail.com</t>
  </si>
  <si>
    <t>Inner Sunset</t>
  </si>
  <si>
    <t>Mortensen</t>
  </si>
  <si>
    <t>Esprit Owners Association</t>
  </si>
  <si>
    <t>900 Minnesota Street</t>
  </si>
  <si>
    <t>916-316-3555</t>
  </si>
  <si>
    <t>smortens@earthlink.net</t>
  </si>
  <si>
    <t>Potrero Hill</t>
  </si>
  <si>
    <t>Priscilla</t>
  </si>
  <si>
    <t>Botsford</t>
  </si>
  <si>
    <t>Eureka Heights Neighborhood Association</t>
  </si>
  <si>
    <t>382 Eureka Street</t>
  </si>
  <si>
    <t>415-643-4414</t>
  </si>
  <si>
    <t>prbotsford@yahoo.com</t>
  </si>
  <si>
    <t>Lemberg</t>
  </si>
  <si>
    <t>Jennifer Waggoner</t>
  </si>
  <si>
    <t>Eureka Valley Neighborhood Association</t>
  </si>
  <si>
    <t>P.O. Box 14137</t>
  </si>
  <si>
    <t>94114-2827</t>
  </si>
  <si>
    <t>president@evna.org</t>
  </si>
  <si>
    <t>Bruce</t>
  </si>
  <si>
    <t>Murphy</t>
  </si>
  <si>
    <t>Eureka Valley Trails/Art Network</t>
  </si>
  <si>
    <t>1281 Quesada Ave</t>
  </si>
  <si>
    <t>94124-3334</t>
  </si>
  <si>
    <t>415-863-0207</t>
  </si>
  <si>
    <t>luckylaowai.sf@gmail.com</t>
  </si>
  <si>
    <t>Bayview, Castro/Upper Market</t>
  </si>
  <si>
    <t>Jack</t>
  </si>
  <si>
    <t>Keating</t>
  </si>
  <si>
    <t>Eureka/17th Street Neighbors</t>
  </si>
  <si>
    <t>4134 17th Street</t>
  </si>
  <si>
    <t>415-431-4551</t>
  </si>
  <si>
    <t>jteamj@comcast.net</t>
  </si>
  <si>
    <t>Maribel</t>
  </si>
  <si>
    <t>Ramirez</t>
  </si>
  <si>
    <t>Excelsior Action Group</t>
  </si>
  <si>
    <t>35 San Juan Ave</t>
  </si>
  <si>
    <t>415-585-0110</t>
  </si>
  <si>
    <t>maribel@eagsf.org</t>
  </si>
  <si>
    <t>Excelsior</t>
  </si>
  <si>
    <t>Mel</t>
  </si>
  <si>
    <t>Flores</t>
  </si>
  <si>
    <t>Excelsior District Improvement Association</t>
  </si>
  <si>
    <t>P.O. Box 12005</t>
  </si>
  <si>
    <t>415-760-5151</t>
  </si>
  <si>
    <t>melfloressf@gmail.com</t>
  </si>
  <si>
    <t>Crocker Amazon, Excelsior, Ocean View, Outer Mission</t>
  </si>
  <si>
    <t>Jonathan</t>
  </si>
  <si>
    <t>G</t>
  </si>
  <si>
    <t>EqualitySF</t>
  </si>
  <si>
    <t>P.O. Box 24297</t>
  </si>
  <si>
    <t>Latoya Pitcher</t>
  </si>
  <si>
    <t>Family Equity Partners</t>
  </si>
  <si>
    <t>2111 Lane Street #24196</t>
  </si>
  <si>
    <t>415.499.2705</t>
  </si>
  <si>
    <t>lpitcher@familyequitypartnerssf.org</t>
  </si>
  <si>
    <t>Vas</t>
  </si>
  <si>
    <t>Kiniris</t>
  </si>
  <si>
    <t>Patti Mangan</t>
  </si>
  <si>
    <t>Fillmore Merchants Association</t>
  </si>
  <si>
    <t>2443 Fillmore Street, #198</t>
  </si>
  <si>
    <t>fma@fillmorestreetsf.com</t>
  </si>
  <si>
    <t>Pacific Heights, Western Addition</t>
  </si>
  <si>
    <t>Daniel B. Landry</t>
  </si>
  <si>
    <t>Fillmore Neighborhood Council</t>
  </si>
  <si>
    <t>1675 Eddy Street #313</t>
  </si>
  <si>
    <t>415.902.1009</t>
  </si>
  <si>
    <t>danielb.landry@yahoo.com</t>
  </si>
  <si>
    <t>Saskia</t>
  </si>
  <si>
    <t>Verbeck</t>
  </si>
  <si>
    <t>Florida Slope Association</t>
  </si>
  <si>
    <t>631 Florida Street</t>
  </si>
  <si>
    <t>808-381-4146</t>
  </si>
  <si>
    <t>nohoo999@yahoo.com</t>
  </si>
  <si>
    <t>FHA</t>
  </si>
  <si>
    <t>Community Manager</t>
  </si>
  <si>
    <t>Forest Hill Association</t>
  </si>
  <si>
    <t>381 Magellan Avenue</t>
  </si>
  <si>
    <t>94116</t>
  </si>
  <si>
    <t>415-664-0542</t>
  </si>
  <si>
    <t>office@foresthill-association.com</t>
  </si>
  <si>
    <t>Walter</t>
  </si>
  <si>
    <t>Caplan</t>
  </si>
  <si>
    <t>Forest Knolls Neighborhood Organization</t>
  </si>
  <si>
    <t>157 Warren Drive</t>
  </si>
  <si>
    <t>94131-1030</t>
  </si>
  <si>
    <t>415-753-3280</t>
  </si>
  <si>
    <t>forestknolls@comcast.net</t>
  </si>
  <si>
    <t>Inner Sunset, Twin Peaks</t>
  </si>
  <si>
    <t>Howard</t>
  </si>
  <si>
    <t>Wong</t>
  </si>
  <si>
    <t>Friends of Appleton-Wolfard Libraries</t>
  </si>
  <si>
    <t>126 Varennes</t>
  </si>
  <si>
    <t>WongAIA@aol.com</t>
  </si>
  <si>
    <t>Chinatown, North Beach</t>
  </si>
  <si>
    <t>Scott</t>
  </si>
  <si>
    <t>Simons</t>
  </si>
  <si>
    <t>Friends of Kansas Street</t>
  </si>
  <si>
    <t>903 Kansas Street #201</t>
  </si>
  <si>
    <t>415-704-4747</t>
  </si>
  <si>
    <t>friendsofkansasstreet@gmail.com</t>
  </si>
  <si>
    <t>C.</t>
  </si>
  <si>
    <t>Weibel</t>
  </si>
  <si>
    <t>Friends of the Havelock Street Bridge</t>
  </si>
  <si>
    <t>havelockstreetbridge@gmail.com</t>
  </si>
  <si>
    <t xml:space="preserve">Excelsior, Outer Mission </t>
  </si>
  <si>
    <t>Brian Springfield</t>
  </si>
  <si>
    <t>Friends of Harvey Milk</t>
  </si>
  <si>
    <t>166 Geary Street, Suite 1500 #2362</t>
  </si>
  <si>
    <t>415-378-9577</t>
  </si>
  <si>
    <t>brian@friendsofharveymilkplaza.org</t>
  </si>
  <si>
    <t xml:space="preserve">Castro / Upper Market  </t>
  </si>
  <si>
    <t>Lucas Lux</t>
  </si>
  <si>
    <t>Friends of Sunset Dunes</t>
  </si>
  <si>
    <t>2309 Noriega Street #55</t>
  </si>
  <si>
    <t>hello@sunsetdunes.org</t>
  </si>
  <si>
    <t>Outer Sunset, Parkside</t>
  </si>
  <si>
    <t>Glen Park Association</t>
  </si>
  <si>
    <t>P.O. Box 31292</t>
  </si>
  <si>
    <t>415-908-6728</t>
  </si>
  <si>
    <t>president@glenparkassociation.org; info@glenparkassociation.org</t>
  </si>
  <si>
    <t>Glen Park</t>
  </si>
  <si>
    <t>Glen Park Urbanists</t>
  </si>
  <si>
    <t>556 Laidley Street, Unit G</t>
  </si>
  <si>
    <t>glenparkurbanists@gmail.com</t>
  </si>
  <si>
    <t>Sally</t>
  </si>
  <si>
    <t>Stephens</t>
  </si>
  <si>
    <t>Golden Gate Heights Neighborhood Association</t>
  </si>
  <si>
    <t>P.O. Box 27608</t>
  </si>
  <si>
    <t>415-379-0577</t>
  </si>
  <si>
    <t>info@goldengateheights.org</t>
  </si>
  <si>
    <t>Inner Sunset, Parkside, West of Twin Peaks</t>
  </si>
  <si>
    <t xml:space="preserve">Robert </t>
  </si>
  <si>
    <t>Bardell</t>
  </si>
  <si>
    <t>Golden Gate Valley Neighborhood Association</t>
  </si>
  <si>
    <t>1922 Filbert Street</t>
  </si>
  <si>
    <t>415-931-7249</t>
  </si>
  <si>
    <t>bbardell@comcast.net</t>
  </si>
  <si>
    <t>Alec</t>
  </si>
  <si>
    <t>Bash</t>
  </si>
  <si>
    <t>Gateway Tenants Association</t>
  </si>
  <si>
    <t>155 Jackson Street Apt. 2501</t>
  </si>
  <si>
    <t>415-999-6273</t>
  </si>
  <si>
    <t>alec.bash@gmail.com</t>
  </si>
  <si>
    <t>David Heller</t>
  </si>
  <si>
    <t>Greater Geary Blvd Merchants and Property Owners Association, Inc</t>
  </si>
  <si>
    <t>P.O. Box 210747</t>
  </si>
  <si>
    <t>415-517-2573</t>
  </si>
  <si>
    <t>info@gearyblvd.org</t>
  </si>
  <si>
    <t>Pastor Sonya Brunswick</t>
  </si>
  <si>
    <t>Greater Life Church</t>
  </si>
  <si>
    <t>P.O. Box 347270</t>
  </si>
  <si>
    <t>415.713.4283</t>
  </si>
  <si>
    <t>brunswick@sbcglobal.net</t>
  </si>
  <si>
    <t>Karen Tarantola</t>
  </si>
  <si>
    <t>Greater West Portal Neighborhood Association</t>
  </si>
  <si>
    <t>P.O. Box 27116</t>
  </si>
  <si>
    <t>415.407.2650</t>
  </si>
  <si>
    <t>president@gwpna.org</t>
  </si>
  <si>
    <t>Bradley</t>
  </si>
  <si>
    <t>Angel</t>
  </si>
  <si>
    <t>Greenaction for Health and Environmental Justice</t>
  </si>
  <si>
    <t>315 Sutter Street, 2nd Floor</t>
  </si>
  <si>
    <t>415-447-3904 x102</t>
  </si>
  <si>
    <t>greenaction@greenaction.org</t>
  </si>
  <si>
    <t>Bayview, Mission, Potrero Hill, Visitacion Valley</t>
  </si>
  <si>
    <t>Jane</t>
  </si>
  <si>
    <t>Natoli</t>
  </si>
  <si>
    <t>Grow the Richmond</t>
  </si>
  <si>
    <t>759 6th Ave #7</t>
  </si>
  <si>
    <t>703-868-5662</t>
  </si>
  <si>
    <t>hello@growtherichmond.com</t>
  </si>
  <si>
    <t>Inner Richmond, Outer Richmond, Presidio Heights, Seacliff</t>
  </si>
  <si>
    <t>Ted</t>
  </si>
  <si>
    <t>Loewenberg</t>
  </si>
  <si>
    <t>Haight Ashbury Improvement Association</t>
  </si>
  <si>
    <t>P.O. Box 170098</t>
  </si>
  <si>
    <t>tedlsf@sbcglobal.net</t>
  </si>
  <si>
    <t>Land Use</t>
  </si>
  <si>
    <t>and Housing Chair</t>
  </si>
  <si>
    <t>Haight Ashbury Neighborhood Council</t>
  </si>
  <si>
    <t>P.O. Box 170518</t>
  </si>
  <si>
    <t>info@hanc-sf.org</t>
  </si>
  <si>
    <t>Haight Ashbury, Inner Sunset, Golden Gate Park</t>
  </si>
  <si>
    <t>Phillip</t>
  </si>
  <si>
    <t>Kobernick</t>
  </si>
  <si>
    <t>Haight Ashbury Neighbors for Density (HAND)</t>
  </si>
  <si>
    <t>401 Cole Street</t>
  </si>
  <si>
    <t>669-228-0882</t>
  </si>
  <si>
    <t>hand4sf@gmail.com</t>
  </si>
  <si>
    <t>Nick Chapman</t>
  </si>
  <si>
    <t>Haight Ashbury Panhandle Tenants Into Community (HAPTIC)</t>
  </si>
  <si>
    <t>1484 Page Street</t>
  </si>
  <si>
    <t>415-779-2061</t>
  </si>
  <si>
    <t>sfhaptic@gmail.com</t>
  </si>
  <si>
    <t>Golden Gate Park, Haight Ashbury, Western Addition</t>
  </si>
  <si>
    <t>Gerald</t>
  </si>
  <si>
    <t>Wolf</t>
  </si>
  <si>
    <t>Hallam Street Homeowners Association</t>
  </si>
  <si>
    <t>1 Brush Place</t>
  </si>
  <si>
    <t>415-626-6650</t>
  </si>
  <si>
    <t>wolfgk@earthlink.net</t>
  </si>
  <si>
    <t>Jennifer</t>
  </si>
  <si>
    <t>Laska</t>
  </si>
  <si>
    <t>Hayes Valley Neighborhood Association</t>
  </si>
  <si>
    <t>400 Grove Street, Suite 3</t>
  </si>
  <si>
    <t>president@hayesvalleysf.org</t>
  </si>
  <si>
    <t>Castro/Upper Market, Downtown/Civic Center, Mission, South of Market, Western Addition</t>
  </si>
  <si>
    <t>Ramiz</t>
  </si>
  <si>
    <t>Y</t>
  </si>
  <si>
    <t xml:space="preserve">Hayes Valley Small Business Association </t>
  </si>
  <si>
    <t>559 Hayes Street</t>
  </si>
  <si>
    <t>info@hvsba.org</t>
  </si>
  <si>
    <t>Richard</t>
  </si>
  <si>
    <t>Johnson</t>
  </si>
  <si>
    <t>Hayes Valley Safe</t>
  </si>
  <si>
    <t>415 Buchanan St Apt C</t>
  </si>
  <si>
    <t>info@hvsafe.com</t>
  </si>
  <si>
    <t>Ian</t>
  </si>
  <si>
    <t>Lewis</t>
  </si>
  <si>
    <t>HERE Local 2</t>
  </si>
  <si>
    <t>209 Golden Gate Avenue</t>
  </si>
  <si>
    <t>Chinatown, Downtown/Civic Center, Marina, Mission, Nob Hill, North Beach, Pacific Heights, Presidio, South of Market</t>
  </si>
  <si>
    <t>Aron</t>
  </si>
  <si>
    <t>Deorsey</t>
  </si>
  <si>
    <t>Hop Past Brew Pub</t>
  </si>
  <si>
    <t xml:space="preserve">2887 Bryant St. </t>
  </si>
  <si>
    <t>415-370-8898</t>
  </si>
  <si>
    <t>aron.deorsey@gmail.com</t>
  </si>
  <si>
    <t>Bernal Heights, Outer Mission</t>
  </si>
  <si>
    <t>Antonio</t>
  </si>
  <si>
    <t>Hotel Zeppelin</t>
  </si>
  <si>
    <t>545 Post Street</t>
  </si>
  <si>
    <t>415-447-6960</t>
  </si>
  <si>
    <t>antonio.flores@viceroyhotelgroup.com</t>
  </si>
  <si>
    <t>Castro/Upper Market, Chinatown, Downtown/Civic Center, Financial District, Nob Hill, North Beach, South of Market, Treasure Island</t>
  </si>
  <si>
    <t>Sherburn-Zimmer</t>
  </si>
  <si>
    <t>Housing Rights Committee of San Francisco</t>
  </si>
  <si>
    <t>1663 Mission Street, Suite 504</t>
  </si>
  <si>
    <t>415-703-8634</t>
  </si>
  <si>
    <t>fred@hrcsf.org</t>
  </si>
  <si>
    <t>Golden Gate Park, Inner Richmond, Inner Sunset, Lakeshore, Outer Richmond, Outer Sunset, Parkside, West of Twin Peaks</t>
  </si>
  <si>
    <t>Hamman</t>
  </si>
  <si>
    <t>India Basin Neighborhood Association</t>
  </si>
  <si>
    <t>702 Earl Street</t>
  </si>
  <si>
    <t>415-643-1376</t>
  </si>
  <si>
    <t>mhamman@igc.org; info@indiabasin.org</t>
  </si>
  <si>
    <t>Mark</t>
  </si>
  <si>
    <t>Scardina</t>
  </si>
  <si>
    <t>Paul Conroy</t>
  </si>
  <si>
    <t>Ingleside Terraces Homes Association</t>
  </si>
  <si>
    <t>P.O. Box 27304</t>
  </si>
  <si>
    <t>94127-0304</t>
  </si>
  <si>
    <t>415-469-9815</t>
  </si>
  <si>
    <t>President@ithasf.org</t>
  </si>
  <si>
    <t>Lakeshore, Ocean View, West of Twin Peaks</t>
  </si>
  <si>
    <t>Inner Sunset Merchants Association</t>
  </si>
  <si>
    <t>P. O. Box 225057</t>
  </si>
  <si>
    <t>94122</t>
  </si>
  <si>
    <t>415-665-1077</t>
  </si>
  <si>
    <t>innersunsetmerchants@gmail.com</t>
  </si>
  <si>
    <t>Cheryl L.</t>
  </si>
  <si>
    <t>Switzer</t>
  </si>
  <si>
    <t>Inner Sunset Neighborhood Association</t>
  </si>
  <si>
    <t>1309 - 12th Avenue</t>
  </si>
  <si>
    <t>415-564-5268</t>
  </si>
  <si>
    <t xml:space="preserve">Maria </t>
  </si>
  <si>
    <t>Wabl</t>
  </si>
  <si>
    <t>1515 5th Ave</t>
  </si>
  <si>
    <t>415-759-6585</t>
  </si>
  <si>
    <t>mariawabl@gmail.com</t>
  </si>
  <si>
    <t>Lawrence</t>
  </si>
  <si>
    <t>Rosenfeld</t>
  </si>
  <si>
    <t>Inner Sunset Park Neighbors</t>
  </si>
  <si>
    <t>1032 Irving Street PMB #511</t>
  </si>
  <si>
    <t>707-322-7261</t>
  </si>
  <si>
    <t>info@inner-sunset.org</t>
  </si>
  <si>
    <t>Stocking</t>
  </si>
  <si>
    <t>Jackson Square Historic District Assn.</t>
  </si>
  <si>
    <t>368 Jackson Street</t>
  </si>
  <si>
    <t>415-984-0700</t>
  </si>
  <si>
    <t>sarah@sarahstocking.com</t>
  </si>
  <si>
    <t xml:space="preserve">Chinatown, Financial District, North Beach  </t>
  </si>
  <si>
    <t>Grace</t>
  </si>
  <si>
    <t>Horikiri</t>
  </si>
  <si>
    <t>Japantown Community Benefit District</t>
  </si>
  <si>
    <t>1765 Sutter Street, 2nd Floor</t>
  </si>
  <si>
    <t>415-265-5207</t>
  </si>
  <si>
    <t>info@jtowncbd.org</t>
  </si>
  <si>
    <t>Dr. Emily Murase</t>
  </si>
  <si>
    <t>Japantown Cultural District</t>
  </si>
  <si>
    <t>1765 Sutter Street</t>
  </si>
  <si>
    <t>415.346.1239</t>
  </si>
  <si>
    <t>info@japantowntaskforce.org</t>
  </si>
  <si>
    <t>Hashimoto</t>
  </si>
  <si>
    <t>Japantown Merchants Association
c/o Japan Center Garages</t>
  </si>
  <si>
    <t>1759 Sutter Street</t>
  </si>
  <si>
    <t>94115</t>
  </si>
  <si>
    <t>415-202-0365</t>
  </si>
  <si>
    <t>rich.hashimoto@gmail.com</t>
  </si>
  <si>
    <t>Glynis Nakahara</t>
  </si>
  <si>
    <t>Japantown Task Force</t>
  </si>
  <si>
    <t>415-823-2310</t>
  </si>
  <si>
    <t>gnakahara@yahoo.com</t>
  </si>
  <si>
    <t>Rose</t>
  </si>
  <si>
    <t>Hillson</t>
  </si>
  <si>
    <t>Jordan Park Improvement Assocation</t>
  </si>
  <si>
    <t>115 Parker Avenue</t>
  </si>
  <si>
    <t>94118-2607</t>
  </si>
  <si>
    <t>Inner Richmond, Marina, Pacific Heights, Presidio Heights, Outer Richmond, Seacliff</t>
  </si>
  <si>
    <t>Ray O'Connor</t>
  </si>
  <si>
    <t>Kansas Street SAFE Association</t>
  </si>
  <si>
    <t>1483 Kansas Street</t>
  </si>
  <si>
    <t>415-577-5412</t>
  </si>
  <si>
    <t>kansas.safeassociation@gmail.com</t>
  </si>
  <si>
    <t>April</t>
  </si>
  <si>
    <t>Asai</t>
  </si>
  <si>
    <t>Kronquist Court/27th Street Neighborhood Association</t>
  </si>
  <si>
    <t>29 Kronquist Court</t>
  </si>
  <si>
    <t>415-550-2605</t>
  </si>
  <si>
    <t>kronquist@asai-sf.com</t>
  </si>
  <si>
    <t>Brian</t>
  </si>
  <si>
    <t>Welch</t>
  </si>
  <si>
    <t>Lady Bird on 27th Street</t>
  </si>
  <si>
    <t>533 27th Street</t>
  </si>
  <si>
    <t>415-641-5258</t>
  </si>
  <si>
    <t>bwelch711@gmail.com</t>
  </si>
  <si>
    <t>Bill</t>
  </si>
  <si>
    <t>Chionsini</t>
  </si>
  <si>
    <t>Lakeshore Acres Improvement Club</t>
  </si>
  <si>
    <t>P.O. Box 320222</t>
  </si>
  <si>
    <t>94132-0222</t>
  </si>
  <si>
    <t xml:space="preserve">415-664-7463 </t>
  </si>
  <si>
    <t>SIEL94132@gmail.com</t>
  </si>
  <si>
    <t>Lakeshore</t>
  </si>
  <si>
    <t>Lakeside Property Owners Association</t>
  </si>
  <si>
    <t>P.O. Box 27516</t>
  </si>
  <si>
    <t>415-587-3218</t>
  </si>
  <si>
    <t>LPOA@lakesidepoa.org</t>
  </si>
  <si>
    <t>Kathryn</t>
  </si>
  <si>
    <t>Devincenzi</t>
  </si>
  <si>
    <t>Laurel Heights Improvement Association of SF, Inc.</t>
  </si>
  <si>
    <t>22 Iris Avenue</t>
  </si>
  <si>
    <t>415-221-4700</t>
  </si>
  <si>
    <t>KRDevincenzi@gmail.com</t>
  </si>
  <si>
    <t>Inner Richmond, Pacific Heights, Presidio Heights</t>
  </si>
  <si>
    <t>Stephen</t>
  </si>
  <si>
    <t>Law Office of Stephen M. Williams</t>
  </si>
  <si>
    <t>1934 Divisadero Street</t>
  </si>
  <si>
    <t>415-292-3656</t>
  </si>
  <si>
    <t>SMW@stevewilliamslaw.com</t>
  </si>
  <si>
    <t>Paul</t>
  </si>
  <si>
    <t>Dally</t>
  </si>
  <si>
    <t>Leather and LGBTQ Cultural District</t>
  </si>
  <si>
    <t>584 Castro Street, #140</t>
  </si>
  <si>
    <t>415-412-1526</t>
  </si>
  <si>
    <t>Land-use@sflcd.org; paul.dally@sflcd.org; manager@sflcd.org;
president@sflcd.org</t>
  </si>
  <si>
    <t>Keith Pavlik</t>
  </si>
  <si>
    <t>Liberation Alliance for Economic and Social Change</t>
  </si>
  <si>
    <t>2969 Mission Street</t>
  </si>
  <si>
    <t>415-305-3624</t>
  </si>
  <si>
    <t>info@liberationalliance.org</t>
  </si>
  <si>
    <t>Bayview, Bernal Heights, Castro/Upper Market, Chinatown, Downtown/Civic Center, Excelsior, Mission, Nob Hill, Noe Valley, Outer Mission, Potrero Hill, South of Market, Western Addition</t>
  </si>
  <si>
    <t>Barbey</t>
  </si>
  <si>
    <t>Liberty Hill Resident  Association</t>
  </si>
  <si>
    <t>50 Liberty Street</t>
  </si>
  <si>
    <t>415-695-0990</t>
  </si>
  <si>
    <t>villabarbei@earthlink.com</t>
  </si>
  <si>
    <t>Dr. Elizabeth</t>
  </si>
  <si>
    <t>Fromer</t>
  </si>
  <si>
    <t>Liberty Hill Neighborhood Association (LHNA)</t>
  </si>
  <si>
    <t>338 Lexington Street</t>
  </si>
  <si>
    <t>415-826-5334</t>
  </si>
  <si>
    <t>efromer3@gmail.com</t>
  </si>
  <si>
    <t>Christina Shih</t>
  </si>
  <si>
    <t>Lincoln Manor Neighborhood Association</t>
  </si>
  <si>
    <t>548 Market Street #85399</t>
  </si>
  <si>
    <t>415-828-7969</t>
  </si>
  <si>
    <t>lincolnmanorsf@gmail.com</t>
  </si>
  <si>
    <t>Norman</t>
  </si>
  <si>
    <t>Kondy</t>
  </si>
  <si>
    <t>Lincoln Park Homeowners Association</t>
  </si>
  <si>
    <t>271 32nd Avenue</t>
  </si>
  <si>
    <t>94121</t>
  </si>
  <si>
    <t>415-386-3956</t>
  </si>
  <si>
    <t>nkondy@sbcglobal.net</t>
  </si>
  <si>
    <t>Outer Richmond, Seacliff</t>
  </si>
  <si>
    <t>Kaye</t>
  </si>
  <si>
    <t>Griffin</t>
  </si>
  <si>
    <t>LMNOP Neighbors</t>
  </si>
  <si>
    <t>1047 Minna Street</t>
  </si>
  <si>
    <t>415-724-1953</t>
  </si>
  <si>
    <t>LMNOP@yak.net</t>
  </si>
  <si>
    <t>Arthur</t>
  </si>
  <si>
    <t>Albrecht</t>
  </si>
  <si>
    <t>Lombard Hill Improvement Association</t>
  </si>
  <si>
    <t>1000 Lombard Street</t>
  </si>
  <si>
    <t>94109-1515</t>
  </si>
  <si>
    <t>415-474-7883</t>
  </si>
  <si>
    <t>ARAlbrecht@aol.com</t>
  </si>
  <si>
    <t>Russian Hill</t>
  </si>
  <si>
    <t>Natalie</t>
  </si>
  <si>
    <t>Burdick</t>
  </si>
  <si>
    <t>Lower Haight Merchants &amp; Neighbors Association</t>
  </si>
  <si>
    <t>137 Buchanan Street</t>
  </si>
  <si>
    <t>310-399-1645</t>
  </si>
  <si>
    <t>lowerhaight415@gmail.com</t>
  </si>
  <si>
    <t xml:space="preserve">Li </t>
  </si>
  <si>
    <t>498 Waller Street, Apt. 9</t>
  </si>
  <si>
    <t>415-644-4290</t>
  </si>
  <si>
    <t>notices@bureausf.com</t>
  </si>
  <si>
    <t>David</t>
  </si>
  <si>
    <t>Villa-Lobos</t>
  </si>
  <si>
    <t>Lower Polk / Larkin Business Collaborative</t>
  </si>
  <si>
    <t>P.O. Box 642201</t>
  </si>
  <si>
    <t>415-559-6627</t>
  </si>
  <si>
    <t>david_villalobos@sbcglobal.net</t>
  </si>
  <si>
    <t>Andrew</t>
  </si>
  <si>
    <t>Dunbar</t>
  </si>
  <si>
    <t>Lower Polk Neighbors</t>
  </si>
  <si>
    <t>1450 Sutter Street #525</t>
  </si>
  <si>
    <t>lowerpolkneighbors@gmail.com</t>
  </si>
  <si>
    <t>Downtown/Civic Center, Nob Hill</t>
  </si>
  <si>
    <t>Thao Jones-Hill</t>
  </si>
  <si>
    <t>Lower Nob Hill Neighborhood Alliance</t>
  </si>
  <si>
    <t>834 Jones Street, Unit B</t>
  </si>
  <si>
    <t>415-470-2428</t>
  </si>
  <si>
    <t>ec@lowernobhill.org</t>
  </si>
  <si>
    <t>Patricia</t>
  </si>
  <si>
    <t>Vaughey</t>
  </si>
  <si>
    <t>Marina/Cow Hollow Neighbors &amp; Merchants</t>
  </si>
  <si>
    <t xml:space="preserve">2269 Chestnut Street #990 </t>
  </si>
  <si>
    <t>415-567-7152</t>
  </si>
  <si>
    <t>Marina, Pacific Heights, Western Addition</t>
  </si>
  <si>
    <t>Neighborhood</t>
  </si>
  <si>
    <t>Planning Committee</t>
  </si>
  <si>
    <t>Marina Community Association</t>
  </si>
  <si>
    <t>1517 North Point Street, #465</t>
  </si>
  <si>
    <t>cbeckman@sfmca.org</t>
  </si>
  <si>
    <t>Marina, Presidio</t>
  </si>
  <si>
    <t>Carolyn</t>
  </si>
  <si>
    <t>Diamond</t>
  </si>
  <si>
    <t>Market Street Association</t>
  </si>
  <si>
    <t>870 Market Street, Suite 456</t>
  </si>
  <si>
    <t>415-362-2500</t>
  </si>
  <si>
    <t>msadv@pacbell.net; carolyn@marketstreetassociation.org</t>
  </si>
  <si>
    <t>Kasey</t>
  </si>
  <si>
    <t>Rios Asberry</t>
  </si>
  <si>
    <t>Market Street for the Masses - Housing Equity</t>
  </si>
  <si>
    <t>245 Hyde Street</t>
  </si>
  <si>
    <t>415-787-0467</t>
  </si>
  <si>
    <t>grow@demonstration-gardens.org</t>
  </si>
  <si>
    <t>Olsson</t>
  </si>
  <si>
    <t>Market/Octavia Community Advisory Comm.</t>
  </si>
  <si>
    <t>30 Sharon Street</t>
  </si>
  <si>
    <t>94114-1709</t>
  </si>
  <si>
    <t>415-407-0094</t>
  </si>
  <si>
    <t>olssonted@yahoo.com</t>
  </si>
  <si>
    <t>Castro/Upper Market, Downtown/Civic Center, Mission</t>
  </si>
  <si>
    <t>Moreno</t>
  </si>
  <si>
    <t>Market/Van Ness Neighborhood Association</t>
  </si>
  <si>
    <t>77 Van Ness Avenue</t>
  </si>
  <si>
    <t>415-286-3492</t>
  </si>
  <si>
    <t>mmoreno@citiscapesf.com</t>
  </si>
  <si>
    <t>Downton/Civic Center</t>
  </si>
  <si>
    <t xml:space="preserve">Eve </t>
  </si>
  <si>
    <t>Plasse</t>
  </si>
  <si>
    <t>Martin Luther Tower</t>
  </si>
  <si>
    <t>1001 Franklin Street, Apt. 10K</t>
  </si>
  <si>
    <t>415-441-4639</t>
  </si>
  <si>
    <t>larnder@aol.com</t>
  </si>
  <si>
    <t>Marc</t>
  </si>
  <si>
    <t>Christensen</t>
  </si>
  <si>
    <t>Merced Extension Triangle Neighborhood Association (METNA)</t>
  </si>
  <si>
    <t>60 Kempton Avenue</t>
  </si>
  <si>
    <t>94132-3221</t>
  </si>
  <si>
    <t>415-585-2465</t>
  </si>
  <si>
    <t>christensen.marc.metna@gmail.com; ragtime217@gmail.com</t>
  </si>
  <si>
    <t>Lakeshore, Ocean View</t>
  </si>
  <si>
    <t>Adam</t>
  </si>
  <si>
    <t>Mayer</t>
  </si>
  <si>
    <t>Middle Polk Neighborhood Association</t>
  </si>
  <si>
    <t>PO Box 640918</t>
  </si>
  <si>
    <t>moe@middlepolk.org</t>
  </si>
  <si>
    <t>Downtown/Civic Center, Nob Hill, Russian Hill</t>
  </si>
  <si>
    <t>Mid-Market Community Benefit District</t>
  </si>
  <si>
    <t>901 Market Street, Suite 490</t>
  </si>
  <si>
    <t>415-957-5985</t>
  </si>
  <si>
    <t>info@midmarketcbd.org</t>
  </si>
  <si>
    <t>Chuck Obermeyer</t>
  </si>
  <si>
    <t>Mid-Market Neighbors</t>
  </si>
  <si>
    <t>30 7th Street</t>
  </si>
  <si>
    <t>415-697-4185</t>
  </si>
  <si>
    <t>chuck@midmarketneighbors.org</t>
  </si>
  <si>
    <t>Castro/Upper Market, Chinatown, Downtown/Civic Center, Financial District, Nob Hill, Potrero Hill, South of Market, Western Addition</t>
  </si>
  <si>
    <t>Megan</t>
  </si>
  <si>
    <t>Sullivan</t>
  </si>
  <si>
    <t>Mid-Richmond Coalition</t>
  </si>
  <si>
    <t>376 17th Avenue</t>
  </si>
  <si>
    <t>(415) 387-7107</t>
  </si>
  <si>
    <t>sulliblums@gmail.com</t>
  </si>
  <si>
    <t>Inner Richmond, Outer Richmond</t>
  </si>
  <si>
    <t>Flo</t>
  </si>
  <si>
    <t>Kimmerling</t>
  </si>
  <si>
    <t>Mid-Sunset Neighborhood Association</t>
  </si>
  <si>
    <t>1282 26th Avenue</t>
  </si>
  <si>
    <t>415-681-1613</t>
  </si>
  <si>
    <t>geokimm@sbcglobal.net</t>
  </si>
  <si>
    <t>Joseph</t>
  </si>
  <si>
    <t>Humphreys</t>
  </si>
  <si>
    <t>Midtown Terrace Homeowners Association</t>
  </si>
  <si>
    <t>20 Knollview Way</t>
  </si>
  <si>
    <t>415-550-2467</t>
  </si>
  <si>
    <t>mthoa@midtownterrace.org</t>
  </si>
  <si>
    <t>Twin Peaks</t>
  </si>
  <si>
    <t xml:space="preserve">Karen </t>
  </si>
  <si>
    <t>Breslin</t>
  </si>
  <si>
    <t>Miraloma Park Improvement Club</t>
  </si>
  <si>
    <t>350 O'Shaughnessy Blvd</t>
  </si>
  <si>
    <t>415-281-0892</t>
  </si>
  <si>
    <t>miralomapark@gmail.com</t>
  </si>
  <si>
    <t>Noble</t>
  </si>
  <si>
    <t>Mission Awareness Project</t>
  </si>
  <si>
    <t>1198 S. Van Ness Ave #104</t>
  </si>
  <si>
    <t>415-644-5050</t>
  </si>
  <si>
    <t>info@missionawarenessproject.com</t>
  </si>
  <si>
    <t>Peter</t>
  </si>
  <si>
    <t>Mission Dolores Neighborhood Association</t>
  </si>
  <si>
    <t>72 Landers Street</t>
  </si>
  <si>
    <t>415-863-3950</t>
  </si>
  <si>
    <t>missiondna@earthlink.net</t>
  </si>
  <si>
    <t>Castro/Upper Market, Mission</t>
  </si>
  <si>
    <t>Papadopoulos</t>
  </si>
  <si>
    <t>Mission Economic Development Association</t>
  </si>
  <si>
    <t>2301 Mission Street #301</t>
  </si>
  <si>
    <t>415-282-3334</t>
  </si>
  <si>
    <t>Excelsior, Mission, Outer Mission</t>
  </si>
  <si>
    <t>Annika</t>
  </si>
  <si>
    <t>Hom</t>
  </si>
  <si>
    <t>Mission Local</t>
  </si>
  <si>
    <t>2489 Mission Street #14</t>
  </si>
  <si>
    <t xml:space="preserve">joe.rivanobarros@missionlocal.com </t>
  </si>
  <si>
    <t>Bernal Heights, Mission</t>
  </si>
  <si>
    <t>Lesser</t>
  </si>
  <si>
    <t>Mission Merchants Association</t>
  </si>
  <si>
    <t>555 Laurel Avenue #501</t>
  </si>
  <si>
    <t>San Mateo</t>
  </si>
  <si>
    <t>415-979-4171</t>
  </si>
  <si>
    <t>pflesser555@outlook.com</t>
  </si>
  <si>
    <t>Ryen Motzek</t>
  </si>
  <si>
    <t>PO Box 40280</t>
  </si>
  <si>
    <t>650-743-0133</t>
  </si>
  <si>
    <t>ryen@missionmerchants.org; info@missionmerchants.org</t>
  </si>
  <si>
    <t>Mission Neighborhood Centers</t>
  </si>
  <si>
    <t>362 Capp St</t>
  </si>
  <si>
    <t>rafael.moreno@mncsf.org</t>
  </si>
  <si>
    <t>Kimber</t>
  </si>
  <si>
    <t>Blackburn</t>
  </si>
  <si>
    <t>Monterey Heights Homeowners Association</t>
  </si>
  <si>
    <t>P.O. Box 27125</t>
  </si>
  <si>
    <t>94127-0125</t>
  </si>
  <si>
    <t>info@montereyheights.org</t>
  </si>
  <si>
    <t>Russell</t>
  </si>
  <si>
    <t>Davis</t>
  </si>
  <si>
    <t>Mt. Davidson Homeowners Association</t>
  </si>
  <si>
    <t>29 Lakewood Ave</t>
  </si>
  <si>
    <t>415-310-6575</t>
  </si>
  <si>
    <t>loanhound@sbcglobal.net</t>
  </si>
  <si>
    <t>Dan</t>
  </si>
  <si>
    <t>Slaughter</t>
  </si>
  <si>
    <t>Mt. Olympus Neighbors Association</t>
  </si>
  <si>
    <t>379 Upper Terrace</t>
  </si>
  <si>
    <t>415-532-1800</t>
  </si>
  <si>
    <t>dkslaughter@gmail.com</t>
  </si>
  <si>
    <t xml:space="preserve">Castro/Upper Market, Haight Ashbury </t>
  </si>
  <si>
    <t>Everett</t>
  </si>
  <si>
    <t>Hewlett</t>
  </si>
  <si>
    <t>Mt. Sutro Woods Owners Association Inc.</t>
  </si>
  <si>
    <t>419 Crestmont Drive</t>
  </si>
  <si>
    <t>415-566-5237</t>
  </si>
  <si>
    <t>ehewlettjr@earthlink.net</t>
  </si>
  <si>
    <t>Native American Health Center</t>
  </si>
  <si>
    <t>160 Capp Street</t>
  </si>
  <si>
    <t>Balint Seeber,</t>
  </si>
  <si>
    <t>Lesley Kohn</t>
  </si>
  <si>
    <t>Neighbors for Responsible Growth on Olmstead Street</t>
  </si>
  <si>
    <t>825 Olmstead Street</t>
  </si>
  <si>
    <t>415-746-0851</t>
  </si>
  <si>
    <t>nrg830olmstead@gmail.com</t>
  </si>
  <si>
    <t>Claudia</t>
  </si>
  <si>
    <t>Chamberlain</t>
  </si>
  <si>
    <t>Neighbors of Ardenwood</t>
  </si>
  <si>
    <t>2690 16th Avenue</t>
  </si>
  <si>
    <t>94116-3052</t>
  </si>
  <si>
    <t>415-753-0620</t>
  </si>
  <si>
    <t>Information@neighborsofardenwood.org</t>
  </si>
  <si>
    <t>Hooper</t>
  </si>
  <si>
    <t>New Mission Terrace Improvement Association (NMTIA)</t>
  </si>
  <si>
    <t>P.O. Box 12111</t>
  </si>
  <si>
    <t>nmtiasf@gmail.com</t>
  </si>
  <si>
    <t xml:space="preserve">Crocker Amazon, Excelsior, Glen Park,  Outer Mission, </t>
  </si>
  <si>
    <t>Nextdoor in Little Hollywood</t>
  </si>
  <si>
    <t>Cathy</t>
  </si>
  <si>
    <t>Inamasu</t>
  </si>
  <si>
    <t>Nihonmachi Little Friends</t>
  </si>
  <si>
    <t>1830 Sutter Street</t>
  </si>
  <si>
    <t>415-922-8898</t>
  </si>
  <si>
    <t>nlfchildcare@yahoo.com</t>
  </si>
  <si>
    <t>Harriet</t>
  </si>
  <si>
    <t>Rohmer</t>
  </si>
  <si>
    <t>Ninth Avenue Neighbors</t>
  </si>
  <si>
    <t>1461 Ninth Avenue</t>
  </si>
  <si>
    <t>415-664-8500</t>
  </si>
  <si>
    <t>harrietrohmer@gmail.com</t>
  </si>
  <si>
    <t>Ozzie</t>
  </si>
  <si>
    <t xml:space="preserve">Rohm </t>
  </si>
  <si>
    <t>Noe Neighborhood Council</t>
  </si>
  <si>
    <t>1101 Diamond Street</t>
  </si>
  <si>
    <t>info@noeneighborhoodcouncil.com</t>
  </si>
  <si>
    <t>Henry Tang</t>
  </si>
  <si>
    <t>&amp; Brian Kingan</t>
  </si>
  <si>
    <t>NOPA West Neighbors (NOPAWN)</t>
  </si>
  <si>
    <t>627 Masonic Avenue</t>
  </si>
  <si>
    <t>415-441-6728</t>
  </si>
  <si>
    <t>nopawestneighbors@gmail.com</t>
  </si>
  <si>
    <t>Nancy Shanahan</t>
  </si>
  <si>
    <t>Northeast San Francisco Conservancy</t>
  </si>
  <si>
    <t>224 Filbert Street</t>
  </si>
  <si>
    <t>nshan@mindspring.com</t>
  </si>
  <si>
    <t>Chinatown, Financial District, North Beach, Russian Hill</t>
  </si>
  <si>
    <t>North Beach Business Assocation</t>
  </si>
  <si>
    <t>P.O. Box 330144</t>
  </si>
  <si>
    <t>415-989-2220</t>
  </si>
  <si>
    <t>northbeachbusinessassociation@gmail.com; KathleenDooley@att.net</t>
  </si>
  <si>
    <t>North Beach</t>
  </si>
  <si>
    <t>Danny</t>
  </si>
  <si>
    <t>Sauter</t>
  </si>
  <si>
    <t>North Beach Neighbors</t>
  </si>
  <si>
    <t>P.O. Box 330115</t>
  </si>
  <si>
    <t>614-795-1166</t>
  </si>
  <si>
    <t>northbeachneighbors@ymail.com</t>
  </si>
  <si>
    <t>Theresa</t>
  </si>
  <si>
    <t>Flandrich</t>
  </si>
  <si>
    <t>North Beach Tenants Committee</t>
  </si>
  <si>
    <t>21 Napier Lane, #2</t>
  </si>
  <si>
    <t>415-362-0215</t>
  </si>
  <si>
    <t>coittower2014@gmail.com</t>
  </si>
  <si>
    <t>Wyland</t>
  </si>
  <si>
    <t>Chu</t>
  </si>
  <si>
    <t>North East Medical Services</t>
  </si>
  <si>
    <t>1520 Stockton Street</t>
  </si>
  <si>
    <t>415-391-9686 x5980</t>
  </si>
  <si>
    <t>wyland.chu@nems.org</t>
  </si>
  <si>
    <t>Jessica</t>
  </si>
  <si>
    <t>Ho</t>
  </si>
  <si>
    <t>2171 Junipero Serra Blvd</t>
  </si>
  <si>
    <t>jessica.ho@nems.org</t>
  </si>
  <si>
    <t xml:space="preserve">Meg </t>
  </si>
  <si>
    <t>Rahner</t>
  </si>
  <si>
    <t>North of Panhandle Neighborhood Association</t>
  </si>
  <si>
    <t>1936 McAllister Street, #1</t>
  </si>
  <si>
    <t>board@nopna.org</t>
  </si>
  <si>
    <t>Haight Ashbury, Western Addition</t>
  </si>
  <si>
    <t>Michael Chen</t>
  </si>
  <si>
    <t>Northern Neighbors</t>
  </si>
  <si>
    <t>2655 Bush St. Apt. 303</t>
  </si>
  <si>
    <t>hello@northernneighbors.org</t>
  </si>
  <si>
    <t>Chinatown, Financial District, Nob Hill, North Beach, Pacific Heights, Presidio, Presidio Heights, Russian Hill, Seacliff</t>
  </si>
  <si>
    <t>Northwest Bernal Heights Design Review Board</t>
  </si>
  <si>
    <t>32 Aztec Street</t>
  </si>
  <si>
    <t>nwbhdrb@gmail.com</t>
  </si>
  <si>
    <t>Billy</t>
  </si>
  <si>
    <t>Lee</t>
  </si>
  <si>
    <t>Oak Grove Group</t>
  </si>
  <si>
    <t>2505 Oak Street</t>
  </si>
  <si>
    <t>Napa</t>
  </si>
  <si>
    <t>415-310-6706</t>
  </si>
  <si>
    <t>leeway_e@yahoo.com</t>
  </si>
  <si>
    <t>Pacific Heights, Russian Hill, Marina, Nob Hill, Presidio, Presidio Heights, Sea Cliff, Noe Valley, Western Addition</t>
  </si>
  <si>
    <t>Pierre</t>
  </si>
  <si>
    <t>Smit</t>
  </si>
  <si>
    <t>Christian Martin</t>
  </si>
  <si>
    <t>Ocean Avenue Association</t>
  </si>
  <si>
    <t>1720 Ocean Avenue</t>
  </si>
  <si>
    <t>650-273-6223</t>
  </si>
  <si>
    <t>christianm@oaacbd.org</t>
  </si>
  <si>
    <t>Ocean View, Outer Mission, West of Twin Peaks</t>
  </si>
  <si>
    <t>Michael Sorrels</t>
  </si>
  <si>
    <t>Ocean Incubators</t>
  </si>
  <si>
    <t>1637 Ocean Ave</t>
  </si>
  <si>
    <t>650-416-4595</t>
  </si>
  <si>
    <t>micheal@sfincubator.org</t>
  </si>
  <si>
    <t>Ocean View</t>
  </si>
  <si>
    <t>Delia</t>
  </si>
  <si>
    <t>Fitzpatrick</t>
  </si>
  <si>
    <t>OMI Community Collaborative</t>
  </si>
  <si>
    <t>5845 Mission Street #301</t>
  </si>
  <si>
    <t>415-298-8367</t>
  </si>
  <si>
    <t>fitzpatrick.delia@gmail.com</t>
  </si>
  <si>
    <t xml:space="preserve">Ocean View, Outer Mission  </t>
  </si>
  <si>
    <t>Maurice Rivers</t>
  </si>
  <si>
    <t>OMI Cultural Participation Project</t>
  </si>
  <si>
    <t xml:space="preserve">P.O. Box 12263 </t>
  </si>
  <si>
    <t>415-729-3658</t>
  </si>
  <si>
    <t>jumpstreet1983@gmail.com</t>
  </si>
  <si>
    <t>Anietie</t>
  </si>
  <si>
    <t>Ekanem</t>
  </si>
  <si>
    <t>OneBayview</t>
  </si>
  <si>
    <t>5800 3rd Street #1320</t>
  </si>
  <si>
    <t>415-335-4980</t>
  </si>
  <si>
    <t>sfplanningdepartment@onebayview.com
aekanem@onebayview.com</t>
  </si>
  <si>
    <t>Bayview, Crocker Amazon, Excelsior, Ocean View, Potrero Hill, Visitacion Valley</t>
  </si>
  <si>
    <t>Ethan</t>
  </si>
  <si>
    <t>Hough</t>
  </si>
  <si>
    <t>One Ecker Owners Association</t>
  </si>
  <si>
    <t>16 Jessie Street Unit 301</t>
  </si>
  <si>
    <t>415-847-3169</t>
  </si>
  <si>
    <t>ethanhough@gmail.com</t>
  </si>
  <si>
    <t>Financial District, South of Market</t>
  </si>
  <si>
    <t>Stephen Groski</t>
  </si>
  <si>
    <t>Open the Great Highway Alliance</t>
  </si>
  <si>
    <t>415-716-3003</t>
  </si>
  <si>
    <t>sjgorskilaw@gmail.com</t>
  </si>
  <si>
    <t xml:space="preserve">Roberto </t>
  </si>
  <si>
    <t>Hernandez</t>
  </si>
  <si>
    <t>Our Mission No Eviction</t>
  </si>
  <si>
    <t>1333 Florida Street</t>
  </si>
  <si>
    <t>latinzoneprod@aol.com</t>
  </si>
  <si>
    <t>Joelle</t>
  </si>
  <si>
    <t>Kenealey</t>
  </si>
  <si>
    <t>Outer Mission Residents Association</t>
  </si>
  <si>
    <t>P. O. Box 34426</t>
  </si>
  <si>
    <t>415-305-6065</t>
  </si>
  <si>
    <t>sfommra@gmail.com</t>
  </si>
  <si>
    <t>Excelsior, Outer Mission, Crocker Amazon, Visitacion Valley</t>
  </si>
  <si>
    <t>Alice Duesdieker</t>
  </si>
  <si>
    <t>Outer Sunset Neighbors</t>
  </si>
  <si>
    <t>2309 Noriega Street #75</t>
  </si>
  <si>
    <t>415-562-5640</t>
  </si>
  <si>
    <t>hello@sunsetneighbors.org</t>
  </si>
  <si>
    <t>Susan</t>
  </si>
  <si>
    <t>Pfeifer</t>
  </si>
  <si>
    <t>Outer Sunset/Parkside Residents Association (OSPRA)</t>
  </si>
  <si>
    <t>1846 Great Highway</t>
  </si>
  <si>
    <t>415-860-8081</t>
  </si>
  <si>
    <t>mediasusan2@gmail.com</t>
  </si>
  <si>
    <t>Outer Susnet, Parkside</t>
  </si>
  <si>
    <t>Doug</t>
  </si>
  <si>
    <t>Bird</t>
  </si>
  <si>
    <t>Outlands Planning Council</t>
  </si>
  <si>
    <t>1511 44th Avenue</t>
  </si>
  <si>
    <t>415-562-5097</t>
  </si>
  <si>
    <t>outlands.planning@gmail.com</t>
  </si>
  <si>
    <t>Outer Richmond, Outer Sunset, Parkside</t>
  </si>
  <si>
    <t>Robyn</t>
  </si>
  <si>
    <t>Tucker</t>
  </si>
  <si>
    <t>Pacific Avenue Neighborhood Association (PANA)</t>
  </si>
  <si>
    <t>7 McCormick</t>
  </si>
  <si>
    <t>94109</t>
  </si>
  <si>
    <t>415-609-5607</t>
  </si>
  <si>
    <t>venturesv@aol.com</t>
  </si>
  <si>
    <t>Terry</t>
  </si>
  <si>
    <t>McGuire</t>
  </si>
  <si>
    <t>Gregory Scott</t>
  </si>
  <si>
    <t>Pacific Heights Residents Association</t>
  </si>
  <si>
    <t>2443 Fillmore Street, #178</t>
  </si>
  <si>
    <t>info@phra-sf.org</t>
  </si>
  <si>
    <t>Pacific Heights</t>
  </si>
  <si>
    <t>Lentz</t>
  </si>
  <si>
    <t>Parkmerced Action Coalition</t>
  </si>
  <si>
    <t>P.O. BOX 320162</t>
  </si>
  <si>
    <t>parkmercedac@gmail.com</t>
  </si>
  <si>
    <t>Lakeshore, Parkside</t>
  </si>
  <si>
    <t>Diaz</t>
  </si>
  <si>
    <t>People Organizing to Demand Environmental and Economic Rights (PODER)</t>
  </si>
  <si>
    <t>474 Valencia Street #125</t>
  </si>
  <si>
    <t>415-431-4210</t>
  </si>
  <si>
    <t>info@podersf.org</t>
  </si>
  <si>
    <t>Crocker Amazon, Excelsior, Mission, Ocean View, Outer Mission, South of Market</t>
  </si>
  <si>
    <t>Baroni</t>
  </si>
  <si>
    <t>Planning Association for the Richmond (PAR)</t>
  </si>
  <si>
    <t>2828  Fulton Street</t>
  </si>
  <si>
    <t>94118-3300</t>
  </si>
  <si>
    <t>415-793-7228</t>
  </si>
  <si>
    <t>dmbaroni@mac.com; sfparlanduse@gmail.com</t>
  </si>
  <si>
    <t>Maggie</t>
  </si>
  <si>
    <t>Weis</t>
  </si>
  <si>
    <t>Portola Neighborhood Association</t>
  </si>
  <si>
    <t>2555 San Bruno Avenue</t>
  </si>
  <si>
    <t>hello@portolasf.org</t>
  </si>
  <si>
    <t>Gilliam</t>
  </si>
  <si>
    <t>Portola Place Homeowners Association</t>
  </si>
  <si>
    <t>P.O. Box 24181</t>
  </si>
  <si>
    <t>94124-0181</t>
  </si>
  <si>
    <t>415-467-8587</t>
  </si>
  <si>
    <t>dgumpire@aol.com</t>
  </si>
  <si>
    <t>J.R.</t>
  </si>
  <si>
    <t>Eppler</t>
  </si>
  <si>
    <t>Potrero Boosters Neigborhood Association</t>
  </si>
  <si>
    <t>1459 18th Street, Suite 133</t>
  </si>
  <si>
    <t>650-704-7775</t>
  </si>
  <si>
    <t>president@potreroboosters.org</t>
  </si>
  <si>
    <t>Mission, Potrero Hill, South of Market</t>
  </si>
  <si>
    <t>Rodney</t>
  </si>
  <si>
    <t>Minott</t>
  </si>
  <si>
    <t>Potrero Hill Neighbors/Save the Hill</t>
  </si>
  <si>
    <t>1206 Mariposa Street</t>
  </si>
  <si>
    <t>415-553-5969</t>
  </si>
  <si>
    <t>rodneyminott@outlook.com</t>
  </si>
  <si>
    <t>Potrero Hill, South of Market</t>
  </si>
  <si>
    <t>Ron</t>
  </si>
  <si>
    <t>Blatman</t>
  </si>
  <si>
    <t>Presidio Heights Association of Neighbors</t>
  </si>
  <si>
    <t>3844 Clay Street</t>
  </si>
  <si>
    <t>94118-1616</t>
  </si>
  <si>
    <t>415-221-7856</t>
  </si>
  <si>
    <t>ronblatman@gmail.com</t>
  </si>
  <si>
    <t>Dr. Monique LeSarre</t>
  </si>
  <si>
    <t>Rafiki Coalition for Health and Wellness</t>
  </si>
  <si>
    <t>601 Cesar Chavez Street</t>
  </si>
  <si>
    <t>415.615.9945</t>
  </si>
  <si>
    <t>devopmentdirector@rafikicoalition.org</t>
  </si>
  <si>
    <t>Axelrad</t>
  </si>
  <si>
    <t>Respect Noe Valley Neighbors</t>
  </si>
  <si>
    <t>1 Jade Place</t>
  </si>
  <si>
    <t>415-510-9087</t>
  </si>
  <si>
    <t>respectnoevalleyneighbors@gmail.com</t>
  </si>
  <si>
    <t>Smooke</t>
  </si>
  <si>
    <t>Richmond District Rising</t>
  </si>
  <si>
    <t>366 10th Ave</t>
  </si>
  <si>
    <t>415-831-9177</t>
  </si>
  <si>
    <t>joseph_smooke@yahoo.com</t>
  </si>
  <si>
    <t>Kathleen</t>
  </si>
  <si>
    <t>Courtney</t>
  </si>
  <si>
    <t>Russian Hill Community Association</t>
  </si>
  <si>
    <t>1158 Green Street</t>
  </si>
  <si>
    <t>510-928-8243</t>
  </si>
  <si>
    <t>kcourtney@rhcasf.com</t>
  </si>
  <si>
    <t>Sandra Nauman</t>
  </si>
  <si>
    <t>Russian Hill Improvement Assocation</t>
  </si>
  <si>
    <t>P.O. Box 475874</t>
  </si>
  <si>
    <t>415-673-8208</t>
  </si>
  <si>
    <t>info@rhia-sf.org</t>
  </si>
  <si>
    <t>Robert</t>
  </si>
  <si>
    <t>Bluhm</t>
  </si>
  <si>
    <t>Russian Hill Neighbors</t>
  </si>
  <si>
    <t>1819 Polk Street #221</t>
  </si>
  <si>
    <t>zoning@rhnsf.org</t>
  </si>
  <si>
    <t>Traci</t>
  </si>
  <si>
    <t>Teraoka</t>
  </si>
  <si>
    <t>Sacramento Street Merchant Association</t>
  </si>
  <si>
    <t>3461 Sacramento Street</t>
  </si>
  <si>
    <t xml:space="preserve">traciteraoka@me.com
</t>
  </si>
  <si>
    <t>Patsy</t>
  </si>
  <si>
    <t>Tito</t>
  </si>
  <si>
    <t>Samoan Development Centre</t>
  </si>
  <si>
    <t>2055 Sunnydale Avenue #100</t>
  </si>
  <si>
    <t>94134-2611</t>
  </si>
  <si>
    <t>Bayview, South of Market</t>
  </si>
  <si>
    <t>Layla</t>
  </si>
  <si>
    <t>Stanley</t>
  </si>
  <si>
    <t>San Francisco Tenants Union</t>
  </si>
  <si>
    <t>558 Capp Street</t>
  </si>
  <si>
    <t>415-282-5525</t>
  </si>
  <si>
    <t>sfplanningnotice@SFTU.org</t>
  </si>
  <si>
    <t>San Franciscans for Reasonable Growth (SFRG)</t>
  </si>
  <si>
    <t>Michael Hebel</t>
  </si>
  <si>
    <t>Save the Marina's Heritage</t>
  </si>
  <si>
    <t>1555 Francisco Street</t>
  </si>
  <si>
    <t>415-613-1726</t>
  </si>
  <si>
    <t>savethemarinaheritage@gmail.com</t>
  </si>
  <si>
    <t>Tempel</t>
  </si>
  <si>
    <t>Sea Cliff Cares</t>
  </si>
  <si>
    <t>230 El Camino Del Mar</t>
  </si>
  <si>
    <t>831-345-7543</t>
  </si>
  <si>
    <t>SeaCliffCares@tempel.net</t>
  </si>
  <si>
    <t>Anni</t>
  </si>
  <si>
    <t>Chung</t>
  </si>
  <si>
    <t>Self-Help for the Elderly</t>
  </si>
  <si>
    <t>731 Sansome Street, Suite 1000</t>
  </si>
  <si>
    <t>94111</t>
  </si>
  <si>
    <t>415-677-7663</t>
  </si>
  <si>
    <t>annic@selfhelpelderly.org</t>
  </si>
  <si>
    <t>Chinatown, Inner Richmond, Inner Sunset, Outer Richmond, Outer Sunset</t>
  </si>
  <si>
    <t>Nube</t>
  </si>
  <si>
    <t>Brown</t>
  </si>
  <si>
    <t>SF Bay View Newspaper</t>
  </si>
  <si>
    <t>4917 Third Street</t>
  </si>
  <si>
    <t>415-671-0789</t>
  </si>
  <si>
    <t>editor@sfbayview.com</t>
  </si>
  <si>
    <t>Tiffany Carter</t>
  </si>
  <si>
    <t>SF Black Wallstreet</t>
  </si>
  <si>
    <t>744 Innes Avenue</t>
  </si>
  <si>
    <t>415-786-9728</t>
  </si>
  <si>
    <t>tiffanysfblackwallstreet@gmail.com</t>
  </si>
  <si>
    <t>Tim Paulson</t>
  </si>
  <si>
    <t>Rudy Gonzalez</t>
  </si>
  <si>
    <t>SF Building and Construction Trades Council</t>
  </si>
  <si>
    <t>1188 Franklin Street, Ste.203</t>
  </si>
  <si>
    <t>415-345-9333</t>
  </si>
  <si>
    <t>tim@sfbuildingtradescouncil.org
rudy@sfbuildingtradescouncil.org</t>
  </si>
  <si>
    <t>Lal</t>
  </si>
  <si>
    <t>SF CityWide</t>
  </si>
  <si>
    <t>142 S. Van Ness Ave</t>
  </si>
  <si>
    <t>415-735-4609</t>
  </si>
  <si>
    <t>info@sfcitywide.org</t>
  </si>
  <si>
    <t>Downtown/Civic Center, Financial District, South of Market, Treasure Island</t>
  </si>
  <si>
    <t>Matthew</t>
  </si>
  <si>
    <t>Steen</t>
  </si>
  <si>
    <t>SF Forest Alliance, a California Public Benefit Corporation</t>
  </si>
  <si>
    <t>P.O. Box 460668</t>
  </si>
  <si>
    <t>415-668-6308</t>
  </si>
  <si>
    <t>sfforestnews@gmail.com</t>
  </si>
  <si>
    <t>Dillard</t>
  </si>
  <si>
    <t>San Francisco Christian Center</t>
  </si>
  <si>
    <t>5845 Mission Street</t>
  </si>
  <si>
    <t>415-584-5515 ext. 13</t>
  </si>
  <si>
    <t>cdillard@sfchristiancenter.org</t>
  </si>
  <si>
    <t>Lantsberg</t>
  </si>
  <si>
    <t>San Francisco Electrical Construction Industry (SFECI)</t>
  </si>
  <si>
    <t>55 Fillmore Street</t>
  </si>
  <si>
    <t>415-794-2539</t>
  </si>
  <si>
    <t>alex@sfeci.org</t>
  </si>
  <si>
    <t>Gary</t>
  </si>
  <si>
    <t>Weiss</t>
  </si>
  <si>
    <t>San Francisco Land Use Coalition (SFLUC)</t>
  </si>
  <si>
    <t>78 Mars Street</t>
  </si>
  <si>
    <t>415-279-5570</t>
  </si>
  <si>
    <t>garysfx@gmail.com</t>
  </si>
  <si>
    <t>Castro/Upper Market, Diamond Heights, Glen Park, Haight Ashbury, Mission, Noe Valley, South of Market, Twin Peaks, Upper Market, Western Addition</t>
  </si>
  <si>
    <t>Kyra Worthy</t>
  </si>
  <si>
    <t>San Francisco SAFE, Inc.</t>
  </si>
  <si>
    <t>850 Bryant Street, Room 135</t>
  </si>
  <si>
    <t>415-553-1984</t>
  </si>
  <si>
    <t>info@sfsafe.org</t>
  </si>
  <si>
    <t>Chris Lee</t>
  </si>
  <si>
    <t>SFCOV</t>
  </si>
  <si>
    <t>P.O. Box 883392</t>
  </si>
  <si>
    <t>775-253-6211</t>
  </si>
  <si>
    <t>neighbor@sfcov.org</t>
  </si>
  <si>
    <t>Bernal Heights, Mission, Potrero Hill</t>
  </si>
  <si>
    <t>Maverick</t>
  </si>
  <si>
    <t>Madison</t>
  </si>
  <si>
    <t>Shafter Avenue Community Club</t>
  </si>
  <si>
    <t>1629 Shafter Avenue</t>
  </si>
  <si>
    <t>415-822-1069</t>
  </si>
  <si>
    <t>misterfingers04@yahoo.com</t>
  </si>
  <si>
    <t>Tannenbaum</t>
  </si>
  <si>
    <t>Sharon Street Neighborhood Association</t>
  </si>
  <si>
    <t>46 Sharon Street</t>
  </si>
  <si>
    <t>925-890-8841</t>
  </si>
  <si>
    <t>Btannenbaum@arws.com</t>
  </si>
  <si>
    <t>Campbell</t>
  </si>
  <si>
    <t>Sheet Metal Workers Local Union No. 104</t>
  </si>
  <si>
    <t>1939 Market Street, Suite A</t>
  </si>
  <si>
    <t>415-621-2930</t>
  </si>
  <si>
    <t>dannyc@smw104.org</t>
  </si>
  <si>
    <t>Francesca</t>
  </si>
  <si>
    <t>Panullo</t>
  </si>
  <si>
    <t>Sherwin Williams</t>
  </si>
  <si>
    <t>1415 Ocean Ave</t>
  </si>
  <si>
    <t>203-376-6868</t>
  </si>
  <si>
    <t>sw8644@sherwin.com</t>
  </si>
  <si>
    <t>Bayview, Bernal Heights, Crocker Amazon, Diamond Heights, Excelsior, Glen Park, Inner Sunset, Lakeshore, Noe Valley, Ocean View, Outer Mission, Outer Sunset, Parkside, Potrero Hill, South Bayshore, Twin Peaks, Visitacion Valley, West of Twin Peaks</t>
  </si>
  <si>
    <t>Tom Hoshiyama</t>
  </si>
  <si>
    <t>/ Hiliarie Connolly</t>
  </si>
  <si>
    <t>Sherwood Forest Homeowners Association</t>
  </si>
  <si>
    <t>111 Robinhood Drive</t>
  </si>
  <si>
    <t>415-309-5843</t>
  </si>
  <si>
    <t>ConnollyHilarie@gmail.com</t>
  </si>
  <si>
    <t>Diamond Heights, Twin Peaks, West of Twin Peaks</t>
  </si>
  <si>
    <t>Patrick Mooney</t>
  </si>
  <si>
    <t>SIPS Review Group</t>
  </si>
  <si>
    <t>62 Carmelita Street</t>
  </si>
  <si>
    <t>415-255-4892</t>
  </si>
  <si>
    <t>pmmsfo@gmail.com</t>
  </si>
  <si>
    <t>Castro / Upper Market, Haight Ashbury, Western Addition</t>
  </si>
  <si>
    <t>Jaime</t>
  </si>
  <si>
    <t>Whitaker</t>
  </si>
  <si>
    <t>SOMA Leadership Council</t>
  </si>
  <si>
    <t>201 Harrison Street Apt. 229</t>
  </si>
  <si>
    <t>415-935-5810</t>
  </si>
  <si>
    <t>rinconhill@gmail.com</t>
  </si>
  <si>
    <t>Mission, South of Market</t>
  </si>
  <si>
    <t>Valdez</t>
  </si>
  <si>
    <t>SOMA Neighborhood Association</t>
  </si>
  <si>
    <t>2 Townsend Street, 3-105</t>
  </si>
  <si>
    <t>415-990-2111</t>
  </si>
  <si>
    <t>sfloans@sbcglobal.net</t>
  </si>
  <si>
    <t>Raquel Redondiez</t>
  </si>
  <si>
    <t>SOMA Pilipinas</t>
  </si>
  <si>
    <t>701 Mission Street</t>
  </si>
  <si>
    <t>raquel@somapilipinas.org; david@somapilipinas.org</t>
  </si>
  <si>
    <t>Reese Isbell</t>
  </si>
  <si>
    <t>SOMA West Neighborhood Association</t>
  </si>
  <si>
    <t>588 Minna Street #301</t>
  </si>
  <si>
    <t>415-812-6209</t>
  </si>
  <si>
    <t>swneighborhoodassociation@gmail.com</t>
  </si>
  <si>
    <t>Eric</t>
  </si>
  <si>
    <t>SoMaBend Neighborhood Association</t>
  </si>
  <si>
    <t>P.O. Box 410805</t>
  </si>
  <si>
    <t>415-669-0916</t>
  </si>
  <si>
    <t>somabend.na@gmail.com</t>
  </si>
  <si>
    <t xml:space="preserve">Downtown/Civic Center, Mission, South of Market </t>
  </si>
  <si>
    <t>Stephanie</t>
  </si>
  <si>
    <t>Greenburg</t>
  </si>
  <si>
    <t>SoTel Neighbors</t>
  </si>
  <si>
    <t>455 Vallejo Street, #112</t>
  </si>
  <si>
    <t>415-794-7596</t>
  </si>
  <si>
    <t>stephgreenburg@sotelneighbors.org</t>
  </si>
  <si>
    <t>Rogers</t>
  </si>
  <si>
    <t>South Beach/Rincon/ Mission Bay Neighborhood Association</t>
  </si>
  <si>
    <t>10 South Park Street, Studio 2</t>
  </si>
  <si>
    <t>sbrmbna@gmail.com</t>
  </si>
  <si>
    <t>Angelica</t>
  </si>
  <si>
    <t>Cabande</t>
  </si>
  <si>
    <t>South of Market Community Action Network (SOMCAN)</t>
  </si>
  <si>
    <t>1110 Howard Street</t>
  </si>
  <si>
    <t>acabande@somcan.org</t>
  </si>
  <si>
    <t>Tacdol</t>
  </si>
  <si>
    <t>Larry Berry</t>
  </si>
  <si>
    <t>Southeast Community Facility</t>
  </si>
  <si>
    <t>1800 Oakdale Avenue</t>
  </si>
  <si>
    <t>415-821-1534</t>
  </si>
  <si>
    <t>Eileen</t>
  </si>
  <si>
    <t>Boken</t>
  </si>
  <si>
    <t>SPEAK (Sunset-Parkside Education and Action Committee)</t>
  </si>
  <si>
    <t>1329 7th Ave</t>
  </si>
  <si>
    <t>speaksanfrancisco@yahoo.com</t>
  </si>
  <si>
    <t>Inner Sunset, Outer Sunset, Parkside</t>
  </si>
  <si>
    <t>Tract</t>
  </si>
  <si>
    <t>Office Manager</t>
  </si>
  <si>
    <t>St. Francis Homes Association</t>
  </si>
  <si>
    <t>101 Santa Clara Ave.</t>
  </si>
  <si>
    <t>info@stfranciswood.org</t>
  </si>
  <si>
    <t>Deborah</t>
  </si>
  <si>
    <t>Fischer-Brown</t>
  </si>
  <si>
    <t>Saint Ignatius Neighbrhood Association</t>
  </si>
  <si>
    <t>2151 39th Ave</t>
  </si>
  <si>
    <t>415-566-6075</t>
  </si>
  <si>
    <t>sisunsetneighbors@hotmail.com</t>
  </si>
  <si>
    <t>Gawlowski</t>
  </si>
  <si>
    <t>St. Paul of the Shipwreck Church</t>
  </si>
  <si>
    <t>1122 Jamestown Aveue</t>
  </si>
  <si>
    <t>415-467-0660</t>
  </si>
  <si>
    <t>spswoffice@aol.com</t>
  </si>
  <si>
    <t>Shervon Hunter</t>
  </si>
  <si>
    <t>Stand in Peace International</t>
  </si>
  <si>
    <t>45 Tioga Avenue</t>
  </si>
  <si>
    <t>415-289-5974</t>
  </si>
  <si>
    <t>standinpeacecommunityprograms@gmail.com</t>
  </si>
  <si>
    <t>Harold</t>
  </si>
  <si>
    <t>Miller</t>
  </si>
  <si>
    <t>Sunnydale Tenant Association</t>
  </si>
  <si>
    <t>270 Malosi St Apt 417A</t>
  </si>
  <si>
    <t>94134-2607</t>
  </si>
  <si>
    <t>415-235-4290</t>
  </si>
  <si>
    <t>haroldbigal007@yahoo.com</t>
  </si>
  <si>
    <t>Smith</t>
  </si>
  <si>
    <t>Sunnyside Neighborhood Association</t>
  </si>
  <si>
    <t>P.O. Box 27615</t>
  </si>
  <si>
    <t>415-937-1305</t>
  </si>
  <si>
    <t>info@sunnysideassociation.org</t>
  </si>
  <si>
    <t>Outer Mission</t>
  </si>
  <si>
    <t>Lance Mellon</t>
  </si>
  <si>
    <t>Sunset Community Garden</t>
  </si>
  <si>
    <t>643 Hamilton Street</t>
  </si>
  <si>
    <t>415-604-7079</t>
  </si>
  <si>
    <t>lancemellon@hotmail.com</t>
  </si>
  <si>
    <t>Dennis</t>
  </si>
  <si>
    <t>Minnick</t>
  </si>
  <si>
    <t>Sunset Heights Association of Responsible People (SHARP)</t>
  </si>
  <si>
    <t>1608A 11th Avenue</t>
  </si>
  <si>
    <t>415-564-0225</t>
  </si>
  <si>
    <t>sharp@sharpsf.com</t>
  </si>
  <si>
    <t>Poppy Gilman</t>
  </si>
  <si>
    <t>Sunset Small Business Network</t>
  </si>
  <si>
    <t>2309 Noriega Street</t>
  </si>
  <si>
    <t>415-213-5449</t>
  </si>
  <si>
    <t>poppy.noriegast@gmail.com</t>
  </si>
  <si>
    <t>Bruno</t>
  </si>
  <si>
    <t>St. Vincent de Paul Society, North Beach</t>
  </si>
  <si>
    <t>666 Filbert Street</t>
  </si>
  <si>
    <t>415-421-0809</t>
  </si>
  <si>
    <t>marcabruno@yahoo.com</t>
  </si>
  <si>
    <t>Vedica</t>
  </si>
  <si>
    <t>Puri</t>
  </si>
  <si>
    <t>Al Fontes</t>
  </si>
  <si>
    <t>Telegraph Hill Dwellers</t>
  </si>
  <si>
    <t>P.O. Box 330159</t>
  </si>
  <si>
    <t>president@thd.org</t>
  </si>
  <si>
    <t>North Beach, Financial District</t>
  </si>
  <si>
    <t>Nancy</t>
  </si>
  <si>
    <t>Shanahan</t>
  </si>
  <si>
    <t>Telegraph Hill Dwellers - Planning &amp; Zoning Committee</t>
  </si>
  <si>
    <t>470 Columbus Ave. #211</t>
  </si>
  <si>
    <t>pz@thd.org</t>
  </si>
  <si>
    <t>Nestor</t>
  </si>
  <si>
    <t>Fernandez</t>
  </si>
  <si>
    <t>Telegraph Hill Neighborhood Center</t>
  </si>
  <si>
    <t>660 Lombard Street</t>
  </si>
  <si>
    <t>415-421-6443 x11</t>
  </si>
  <si>
    <t>nfernandez@tel-hi.org</t>
  </si>
  <si>
    <t>Gene</t>
  </si>
  <si>
    <t>Morzenti</t>
  </si>
  <si>
    <t>Telegraph Hill Survival Association</t>
  </si>
  <si>
    <t>350 Green Street, Apt. 3</t>
  </si>
  <si>
    <t>415-362-3059</t>
  </si>
  <si>
    <t>aamorzenti@ucdavis.edu</t>
  </si>
  <si>
    <t>Erick Arguello</t>
  </si>
  <si>
    <t>Tenderloin Land Use Committee</t>
  </si>
  <si>
    <t>330 Ellis Street</t>
  </si>
  <si>
    <t>415-674-6031</t>
  </si>
  <si>
    <t>earguello@glide.org</t>
  </si>
  <si>
    <t>Rabbitt</t>
  </si>
  <si>
    <t>Temescal Terrace Association</t>
  </si>
  <si>
    <t>55 Temescal Terrace</t>
  </si>
  <si>
    <t>415-954-4959</t>
  </si>
  <si>
    <t>richard.rabbitt@stanfordalumni.org</t>
  </si>
  <si>
    <t>Haight Ashbury, Inner Richmond, Presidio Heights, Western Addition</t>
  </si>
  <si>
    <t>Marvis Phillips</t>
  </si>
  <si>
    <t>Tenderloin/SOMA/WSOMA-Community Planners</t>
  </si>
  <si>
    <t>230 Eddy Street #1206</t>
  </si>
  <si>
    <t>94102-6526</t>
  </si>
  <si>
    <t>415-674-1935</t>
  </si>
  <si>
    <t>marvisphillips@gmail.com</t>
  </si>
  <si>
    <t>Downtown/Civic Center, Mission, South of Market, Western Addition</t>
  </si>
  <si>
    <t>Randy</t>
  </si>
  <si>
    <t>Shaw</t>
  </si>
  <si>
    <t>Tenderloin Housing Clinic</t>
  </si>
  <si>
    <t>126 Hyde Street</t>
  </si>
  <si>
    <t>415-771-9850</t>
  </si>
  <si>
    <t>randy@thclinic.org</t>
  </si>
  <si>
    <t>Curtis</t>
  </si>
  <si>
    <t>Bradford</t>
  </si>
  <si>
    <t>Tenderloin People's Congress</t>
  </si>
  <si>
    <t>1390 Market Street #2206</t>
  </si>
  <si>
    <t>415-358-3900</t>
  </si>
  <si>
    <t>cbradford@tndc.org</t>
  </si>
  <si>
    <t>Downtown/Civic Center, South of Market</t>
  </si>
  <si>
    <t>Anna Harvey</t>
  </si>
  <si>
    <t>TJPA CAC</t>
  </si>
  <si>
    <t>425 Mission Street,  Suite 250</t>
  </si>
  <si>
    <t>aharvey@tjpa.org
lmadjuswu@tjpa.org</t>
  </si>
  <si>
    <t>Sonja</t>
  </si>
  <si>
    <t>Kos</t>
  </si>
  <si>
    <t>TODCO Impact Group</t>
  </si>
  <si>
    <t>230 Fourth Street</t>
  </si>
  <si>
    <t>415-426-6819</t>
  </si>
  <si>
    <t>sonja@todco.org</t>
  </si>
  <si>
    <t>Kelly Torres</t>
  </si>
  <si>
    <t>Top-O-Ham</t>
  </si>
  <si>
    <t>692 Hamilton Street</t>
  </si>
  <si>
    <t>530-758-2300</t>
  </si>
  <si>
    <t>torres.kk@gmail.com</t>
  </si>
  <si>
    <t>O'Brien</t>
  </si>
  <si>
    <t>Twin Peaks Eastside Neighborhood Alliance (TPENA)</t>
  </si>
  <si>
    <t>74 Crestline Drive, #9</t>
  </si>
  <si>
    <t>415-282-3430</t>
  </si>
  <si>
    <t>nancyob6@comcast.net</t>
  </si>
  <si>
    <t>Diamond Heights, Twin Peaks</t>
  </si>
  <si>
    <t>Doris</t>
  </si>
  <si>
    <t>Linnenbach</t>
  </si>
  <si>
    <t>Twin Peaks Improvement Association</t>
  </si>
  <si>
    <t>155 St. Germain Avenue</t>
  </si>
  <si>
    <t>415-731-4455</t>
  </si>
  <si>
    <t>Lesley</t>
  </si>
  <si>
    <t>Leonhardt</t>
  </si>
  <si>
    <t>Union Street Association</t>
  </si>
  <si>
    <t>PO Box 470393</t>
  </si>
  <si>
    <t>415-441-7055</t>
  </si>
  <si>
    <t>LL@imagesnorth.com</t>
  </si>
  <si>
    <t>Lisa</t>
  </si>
  <si>
    <t>Frisch</t>
  </si>
  <si>
    <t>Union Square Alliance (Union Square Business Improvement District)</t>
  </si>
  <si>
    <t>291 Gearu Street, Suite 200</t>
  </si>
  <si>
    <t>415-781-7880</t>
  </si>
  <si>
    <t>info@unionsquarebid.com</t>
  </si>
  <si>
    <t>Larisa</t>
  </si>
  <si>
    <t>Pedroncelli</t>
  </si>
  <si>
    <t>United to Save the Mission</t>
  </si>
  <si>
    <t>2940 16th Street, Suite 216</t>
  </si>
  <si>
    <t>circus@factory1.com</t>
  </si>
  <si>
    <t>Niall</t>
  </si>
  <si>
    <t>Vignoles</t>
  </si>
  <si>
    <t>University Terrace Association</t>
  </si>
  <si>
    <t>52 Roselyn Terrace</t>
  </si>
  <si>
    <t>universityterraceassociation@yahoo.com</t>
  </si>
  <si>
    <t xml:space="preserve">Inner Richmond  </t>
  </si>
  <si>
    <t>Jennifer Mei</t>
  </si>
  <si>
    <t>Upper Chinatown Neighborhood Association</t>
  </si>
  <si>
    <t>1144 Pacific Avenue</t>
  </si>
  <si>
    <t>415-775-1151</t>
  </si>
  <si>
    <t xml:space="preserve">upperchinatownassociation@gmail.com </t>
  </si>
  <si>
    <t>Chinatown, Nob Hill, Russian Hill</t>
  </si>
  <si>
    <t>Andy</t>
  </si>
  <si>
    <t>Levine</t>
  </si>
  <si>
    <t>Upper Noe Neighbors</t>
  </si>
  <si>
    <t>447 29th Street</t>
  </si>
  <si>
    <t>415-282-4643</t>
  </si>
  <si>
    <t>andy@levinearch.com</t>
  </si>
  <si>
    <t xml:space="preserve">Sean </t>
  </si>
  <si>
    <t>Quigley</t>
  </si>
  <si>
    <t>Valencia Corridor Merchant Association</t>
  </si>
  <si>
    <t>766 Valencia Street, 3rd Floor</t>
  </si>
  <si>
    <t>seanq@paxtongate.com</t>
  </si>
  <si>
    <t>Castro/Upper Market, Mission, Potrero Hill</t>
  </si>
  <si>
    <t xml:space="preserve">M. </t>
  </si>
  <si>
    <t>Parr</t>
  </si>
  <si>
    <t>Vermont 500 Block Neighborhood Association</t>
  </si>
  <si>
    <t>529 Vermont Street</t>
  </si>
  <si>
    <t>650-302-6990</t>
  </si>
  <si>
    <t>Vermont500NA@gmail.com</t>
  </si>
  <si>
    <t xml:space="preserve">Joyce </t>
  </si>
  <si>
    <t>Book</t>
  </si>
  <si>
    <t>Vermont St. Neighborhood Association</t>
  </si>
  <si>
    <t>740 Vermont Street</t>
  </si>
  <si>
    <t>415-206-9537</t>
  </si>
  <si>
    <t>joyce@mediabook.com</t>
  </si>
  <si>
    <t>Visitacion Valley Connections</t>
  </si>
  <si>
    <t>P.O. Box 34003</t>
  </si>
  <si>
    <t>VisitacionValleyConnections@gmail.com</t>
  </si>
  <si>
    <t xml:space="preserve">Fran </t>
  </si>
  <si>
    <t>Martin</t>
  </si>
  <si>
    <t>Visitacion Valley Greenway/GOAL</t>
  </si>
  <si>
    <t>186 Arleta Avenue</t>
  </si>
  <si>
    <t>415-216-8560</t>
  </si>
  <si>
    <t>fma6764860@aol.com</t>
  </si>
  <si>
    <t>West of Twin Peaks Central Council</t>
  </si>
  <si>
    <t>P.O. Box 27112</t>
  </si>
  <si>
    <t xml:space="preserve">info@WestOfTwinPeaks.org
President@WestOfTwinPeaks.org 
</t>
  </si>
  <si>
    <t>Diamond Heights, Lakeshore, Parkside, Twin Peaks, West of Twin Peaks</t>
  </si>
  <si>
    <t>Jan</t>
  </si>
  <si>
    <t>Bolaffi</t>
  </si>
  <si>
    <t>Western Addition Neighborhood Association</t>
  </si>
  <si>
    <t>2331 Bush Street</t>
  </si>
  <si>
    <t>415-931-1091</t>
  </si>
  <si>
    <t>bolaffi@pacbell.net</t>
  </si>
  <si>
    <t>Maelig</t>
  </si>
  <si>
    <t>Morvan</t>
  </si>
  <si>
    <t>Westside = best side!</t>
  </si>
  <si>
    <t>1444 48th Avenue</t>
  </si>
  <si>
    <t>415-779-2031</t>
  </si>
  <si>
    <t>westsidebestsidesf@gmail.com</t>
  </si>
  <si>
    <t>Inner Sunset, Lakeshore, Outer Sunset, Parkside, West of Twin Peaks</t>
  </si>
  <si>
    <t>Joseph Smooke</t>
  </si>
  <si>
    <t>Westside Community Coalition</t>
  </si>
  <si>
    <t>Inner Richmond, Inner Sunset, Lakeshore, Outer Richmond, Outer Sunset, Parkside</t>
  </si>
  <si>
    <t>Bisho</t>
  </si>
  <si>
    <t>Westwood Highlands Association</t>
  </si>
  <si>
    <t>120 Brentwood Avenue</t>
  </si>
  <si>
    <t>415-397-0767</t>
  </si>
  <si>
    <t>bisho@bisho.com</t>
  </si>
  <si>
    <t>Anita</t>
  </si>
  <si>
    <t>Theoharis</t>
  </si>
  <si>
    <t>Westwood Park Association</t>
  </si>
  <si>
    <t>236 W. Portal Avenue, No. 770</t>
  </si>
  <si>
    <t>415-334-4373</t>
  </si>
  <si>
    <t>board@westwoodpark.com</t>
  </si>
  <si>
    <t>Brent</t>
  </si>
  <si>
    <t>Plater</t>
  </si>
  <si>
    <t>Wild Equity Institute</t>
  </si>
  <si>
    <t>474 Valencia Street Suite 295</t>
  </si>
  <si>
    <t>bplater@wildequity.org</t>
  </si>
  <si>
    <t>Brandi Ynocencio</t>
  </si>
  <si>
    <t>Yerba Buena Community Benefit District</t>
  </si>
  <si>
    <t>750 Howard Street</t>
  </si>
  <si>
    <t>415-919-4035</t>
  </si>
  <si>
    <t>bynocencio@ybcbd.org</t>
  </si>
  <si>
    <t>Zachary</t>
  </si>
  <si>
    <t>Weisenburger</t>
  </si>
  <si>
    <t>Young Community Developers (YCD)</t>
  </si>
  <si>
    <t>1715 Yosemite Avenue</t>
  </si>
  <si>
    <t>415-265-1034</t>
  </si>
  <si>
    <t xml:space="preserve"> zweisenburger@ycdjobs.org</t>
  </si>
  <si>
    <t>Bayview, Ocean View, Potrero Hill, Visitacion Valley</t>
  </si>
  <si>
    <t>York</t>
  </si>
  <si>
    <t>Loo</t>
  </si>
  <si>
    <t>York Realty</t>
  </si>
  <si>
    <t>243A Shipley Street</t>
  </si>
  <si>
    <t>94107-1010</t>
  </si>
  <si>
    <t>415-751-8602</t>
  </si>
  <si>
    <t>yorkloo@gmail.com</t>
  </si>
  <si>
    <t>PHYSICAL NOTICES</t>
  </si>
  <si>
    <t>BOTH PHYSICAL &amp; ELECTRONIC NOTICES</t>
  </si>
  <si>
    <t>Lozeau Drury LLP</t>
  </si>
  <si>
    <t>Maya Vishwanath</t>
  </si>
  <si>
    <t xml:space="preserve">1939 Harrison Street, Suite 150 </t>
  </si>
  <si>
    <t>Oakland</t>
  </si>
  <si>
    <t xml:space="preserve">michael@lozeaudrury.com 
hannah@lozeaudrury.com 
maya@lozeaudrury.com </t>
  </si>
  <si>
    <t>ELECTRONIC NOTICES</t>
  </si>
  <si>
    <t>874 Sacramento Street Tenants Association</t>
  </si>
  <si>
    <t>4016 20th Street</t>
  </si>
  <si>
    <t>Bettina Cohen</t>
  </si>
  <si>
    <t>330 Berry Street, Unit 206</t>
  </si>
  <si>
    <t>bettina.cohen@sonic.net</t>
  </si>
  <si>
    <t>South of Market, Potrero Hill</t>
  </si>
  <si>
    <t>Mission Bay Neighborhood Association</t>
  </si>
  <si>
    <t>KC Real</t>
  </si>
  <si>
    <t>Keep Crocker Real</t>
  </si>
  <si>
    <t>408-758-1148</t>
  </si>
  <si>
    <t>hello@keepcrockerreal.com</t>
  </si>
  <si>
    <t>Bayview, Crocker Amazon, Excelsior, Glen Park, Outer Mission, Visitacion Valley</t>
  </si>
  <si>
    <t xml:space="preserve">Maryann Dresner </t>
  </si>
  <si>
    <t xml:space="preserve">Jessica Rubio </t>
  </si>
  <si>
    <t>jrubio@medasf.org</t>
  </si>
  <si>
    <t>Bernal Heights, Chinatown, Downtown/Civic Center, Mission</t>
  </si>
  <si>
    <t>329 Highland Ave</t>
  </si>
  <si>
    <t>415-846-1021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</si>
</sst>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0"/>
      <color theme="1"/>
      <name val="Arial"/>
      <family val="2"/>
    </font>
    <font>
      <sz val="10"/>
      <color theme="1"/>
      <name val="Arial"/>
      <family val="2"/>
    </font>
    <font>
      <sz val="10"/>
      <name val="Arial"/>
      <family val="2"/>
    </font>
    <font>
      <b/>
      <sz val="10"/>
      <color indexed="8"/>
      <name val="Arial"/>
      <family val="2"/>
    </font>
    <font>
      <b/>
      <sz val="10"/>
      <color theme="1"/>
      <name val="Arial"/>
      <family val="2"/>
    </font>
    <font>
      <sz val="11"/>
      <color theme="1"/>
      <name val="Arial"/>
      <family val="2"/>
    </font>
    <font>
      <u/>
      <sz val="11"/>
      <color theme="10"/>
      <name val="Calibri"/>
      <family val="2"/>
      <scheme val="minor"/>
    </font>
    <font>
      <u/>
      <sz val="11"/>
      <color theme="11"/>
      <name val="Calibri"/>
      <family val="2"/>
      <scheme val="minor"/>
    </font>
    <font>
      <b/>
      <sz val="10"/>
      <name val="Arial"/>
      <family val="2"/>
    </font>
    <font>
      <b/>
      <sz val="14"/>
      <name val="Arial"/>
      <family val="2"/>
    </font>
    <font>
      <b/>
      <sz val="14"/>
      <color theme="1"/>
      <name val="Arial"/>
      <family val="2"/>
    </font>
    <font>
      <sz val="11"/>
      <name val="Calibri"/>
      <family val="2"/>
      <scheme val="minor"/>
    </font>
    <font>
      <sz val="11"/>
      <name val="Arial"/>
      <family val="2"/>
    </font>
    <font>
      <u/>
      <sz val="10"/>
      <name val="Arial"/>
      <family val="2"/>
    </font>
  </fonts>
  <fills count="6">
    <fill>
      <patternFill patternType="none"/>
    </fill>
    <fill>
      <patternFill patternType="gray125"/>
    </fill>
    <fill>
      <patternFill patternType="solid">
        <fgColor rgb="FFFFFF99"/>
        <bgColor indexed="64"/>
      </patternFill>
    </fill>
    <fill>
      <patternFill patternType="solid">
        <fgColor theme="6"/>
        <bgColor indexed="64"/>
      </patternFill>
    </fill>
    <fill>
      <patternFill patternType="solid">
        <fgColor theme="5" tint="0.39997558519241921"/>
        <bgColor indexed="64"/>
      </patternFill>
    </fill>
    <fill>
      <patternFill patternType="solid">
        <fgColor theme="3" tint="0.59999389629810485"/>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s>
  <cellStyleXfs count="3">
    <xf numFmtId="0" fontId="0" fillId="0" borderId="0"/>
    <xf numFmtId="0" fontId="7" fillId="0" borderId="0"/>
    <xf numFmtId="0" fontId="8" fillId="0" borderId="0"/>
  </cellStyleXfs>
  <cellXfs count="73">
    <xf numFmtId="0" fontId="0" fillId="0" borderId="0" xfId="0"/>
    <xf numFmtId="0" fontId="3" fillId="0" borderId="1" xfId="0" applyFont="1" applyBorder="1" applyAlignment="1">
      <alignment horizontal="left" vertical="center" wrapText="1" readingOrder="1"/>
    </xf>
    <xf numFmtId="0" fontId="2" fillId="2" borderId="0" xfId="0" applyFont="1" applyFill="1" applyAlignment="1">
      <alignment horizontal="left" vertical="center" wrapText="1" readingOrder="1"/>
    </xf>
    <xf numFmtId="0" fontId="2" fillId="0" borderId="0" xfId="0" applyFont="1" applyAlignment="1">
      <alignment horizontal="left" vertical="center" wrapText="1" readingOrder="1"/>
    </xf>
    <xf numFmtId="0" fontId="5" fillId="2" borderId="0" xfId="0" applyFont="1" applyFill="1" applyAlignment="1">
      <alignment vertical="top" wrapText="1"/>
    </xf>
    <xf numFmtId="0" fontId="2" fillId="0" borderId="0" xfId="0" applyFont="1" applyAlignment="1">
      <alignment vertical="top" wrapText="1"/>
    </xf>
    <xf numFmtId="0" fontId="6" fillId="0" borderId="0" xfId="0" applyFont="1" applyAlignment="1">
      <alignment vertical="top" wrapText="1"/>
    </xf>
    <xf numFmtId="0" fontId="2" fillId="0" borderId="0" xfId="0" applyFont="1" applyAlignment="1">
      <alignment wrapText="1"/>
    </xf>
    <xf numFmtId="0" fontId="2" fillId="0" borderId="0" xfId="0" applyFont="1" applyAlignment="1">
      <alignment horizontal="left" vertical="top" wrapText="1"/>
    </xf>
    <xf numFmtId="0" fontId="3" fillId="0" borderId="1" xfId="1" applyFont="1" applyBorder="1" applyAlignment="1">
      <alignment horizontal="left" vertical="center" wrapText="1" readingOrder="1"/>
    </xf>
    <xf numFmtId="0" fontId="5" fillId="2" borderId="0" xfId="0" applyFont="1" applyFill="1" applyAlignment="1">
      <alignment horizontal="left" vertical="top" wrapText="1"/>
    </xf>
    <xf numFmtId="0" fontId="1" fillId="0" borderId="0" xfId="0" applyFont="1" applyAlignment="1">
      <alignment vertical="top" wrapText="1"/>
    </xf>
    <xf numFmtId="0" fontId="2" fillId="0" borderId="0" xfId="0" applyFont="1" applyAlignment="1">
      <alignment horizontal="left" wrapText="1"/>
    </xf>
    <xf numFmtId="0" fontId="6" fillId="0" borderId="0" xfId="0" applyFont="1" applyAlignment="1">
      <alignment horizontal="left" vertical="top" wrapText="1"/>
    </xf>
    <xf numFmtId="0" fontId="1" fillId="0" borderId="0" xfId="0" applyFont="1" applyAlignment="1">
      <alignment horizontal="left" vertical="top" wrapText="1"/>
    </xf>
    <xf numFmtId="0" fontId="3" fillId="0" borderId="1" xfId="1" applyFont="1" applyBorder="1" applyAlignment="1">
      <alignment wrapText="1"/>
    </xf>
    <xf numFmtId="0" fontId="3" fillId="0" borderId="1" xfId="1" applyFont="1" applyBorder="1"/>
    <xf numFmtId="0" fontId="3" fillId="0" borderId="1" xfId="0" applyFont="1" applyBorder="1" applyAlignment="1">
      <alignment wrapText="1"/>
    </xf>
    <xf numFmtId="0" fontId="4" fillId="2" borderId="2" xfId="0" applyFont="1" applyFill="1" applyBorder="1" applyAlignment="1" applyProtection="1">
      <alignment horizontal="left" vertical="center" wrapText="1" readingOrder="1"/>
      <protection locked="0"/>
    </xf>
    <xf numFmtId="0" fontId="4" fillId="2" borderId="3" xfId="0" applyFont="1" applyFill="1" applyBorder="1" applyAlignment="1" applyProtection="1">
      <alignment horizontal="left" vertical="center" wrapText="1" readingOrder="1"/>
      <protection locked="0"/>
    </xf>
    <xf numFmtId="0" fontId="4" fillId="2" borderId="4" xfId="0" applyFont="1" applyFill="1" applyBorder="1" applyAlignment="1" applyProtection="1">
      <alignment horizontal="left" vertical="center" wrapText="1" readingOrder="1"/>
      <protection locked="0"/>
    </xf>
    <xf numFmtId="0" fontId="3" fillId="0" borderId="1" xfId="1" applyFont="1" applyBorder="1" applyAlignment="1">
      <alignment vertical="center"/>
    </xf>
    <xf numFmtId="0" fontId="3" fillId="0" borderId="1" xfId="0" applyFont="1" applyBorder="1"/>
    <xf numFmtId="0" fontId="1" fillId="0" borderId="0" xfId="0" applyFont="1" applyAlignment="1">
      <alignment horizontal="left" vertical="center" wrapText="1" readingOrder="1"/>
    </xf>
    <xf numFmtId="0" fontId="1" fillId="0" borderId="0" xfId="0" applyFont="1" applyAlignment="1">
      <alignment horizontal="left" wrapText="1"/>
    </xf>
    <xf numFmtId="0" fontId="7" fillId="0" borderId="1" xfId="1" applyBorder="1" applyAlignment="1">
      <alignment horizontal="left" vertical="center" wrapText="1" readingOrder="1"/>
    </xf>
    <xf numFmtId="0" fontId="5" fillId="0" borderId="0" xfId="0" applyFont="1" applyAlignment="1">
      <alignment vertical="top" wrapText="1"/>
    </xf>
    <xf numFmtId="0" fontId="9" fillId="0" borderId="1" xfId="0" applyFont="1" applyBorder="1" applyAlignment="1">
      <alignment horizontal="left" vertical="center" wrapText="1" readingOrder="1"/>
    </xf>
    <xf numFmtId="0" fontId="11" fillId="0" borderId="0" xfId="0" applyFont="1" applyAlignment="1">
      <alignment vertical="top"/>
    </xf>
    <xf numFmtId="0" fontId="10" fillId="0" borderId="0" xfId="0" applyFont="1" applyAlignment="1">
      <alignment vertical="top"/>
    </xf>
    <xf numFmtId="0" fontId="11" fillId="0" borderId="0" xfId="0" applyFont="1" applyAlignment="1">
      <alignment vertical="top" wrapText="1"/>
    </xf>
    <xf numFmtId="0" fontId="3" fillId="0" borderId="0" xfId="0" applyFont="1" applyAlignment="1">
      <alignment vertical="top" wrapText="1"/>
    </xf>
    <xf numFmtId="0" fontId="3" fillId="0" borderId="0" xfId="1" applyFont="1" applyAlignment="1">
      <alignment horizontal="left" vertical="center" wrapText="1" readingOrder="1"/>
    </xf>
    <xf numFmtId="0" fontId="1" fillId="0" borderId="0" xfId="0" quotePrefix="1" applyFont="1" applyAlignment="1">
      <alignment vertical="top" wrapText="1"/>
    </xf>
    <xf numFmtId="0" fontId="1" fillId="0" borderId="0" xfId="0" applyFont="1"/>
    <xf numFmtId="0" fontId="3" fillId="0" borderId="0" xfId="1" applyFont="1" applyAlignment="1">
      <alignment wrapText="1"/>
    </xf>
    <xf numFmtId="0" fontId="9" fillId="2" borderId="2" xfId="0" applyFont="1" applyFill="1" applyBorder="1" applyAlignment="1" applyProtection="1">
      <alignment horizontal="left" vertical="center" wrapText="1" readingOrder="1"/>
      <protection locked="0"/>
    </xf>
    <xf numFmtId="0" fontId="3" fillId="0" borderId="0" xfId="0" applyFont="1" applyAlignment="1">
      <alignment horizontal="left" vertical="center" wrapText="1" readingOrder="1"/>
    </xf>
    <xf numFmtId="0" fontId="3" fillId="0" borderId="0" xfId="0" applyFont="1" applyAlignment="1">
      <alignment wrapText="1"/>
    </xf>
    <xf numFmtId="0" fontId="3" fillId="0" borderId="1" xfId="1" applyFont="1" applyBorder="1" applyAlignment="1">
      <alignment vertical="center" wrapText="1"/>
    </xf>
    <xf numFmtId="0" fontId="1" fillId="0" borderId="0" xfId="0" applyFont="1" applyAlignment="1">
      <alignment wrapText="1"/>
    </xf>
    <xf numFmtId="0" fontId="12" fillId="0" borderId="1" xfId="1" applyFont="1" applyBorder="1" applyAlignment="1">
      <alignment wrapText="1"/>
    </xf>
    <xf numFmtId="0" fontId="1" fillId="0" borderId="1" xfId="0" applyFont="1" applyBorder="1" applyAlignment="1">
      <alignment horizontal="left" vertical="center" wrapText="1" readingOrder="1"/>
    </xf>
    <xf numFmtId="0" fontId="1" fillId="0" borderId="1" xfId="1" applyFont="1" applyBorder="1" applyAlignment="1">
      <alignment horizontal="left" vertical="center" wrapText="1" readingOrder="1"/>
    </xf>
    <xf numFmtId="0" fontId="0" fillId="0" borderId="1" xfId="1" applyFont="1" applyBorder="1" applyAlignment="1">
      <alignment horizontal="left" vertical="center" wrapText="1"/>
    </xf>
    <xf numFmtId="0" fontId="13" fillId="0" borderId="1" xfId="1" applyFont="1" applyBorder="1" applyAlignment="1">
      <alignment horizontal="left" vertical="center" wrapText="1" readingOrder="1"/>
    </xf>
    <xf numFmtId="0" fontId="3" fillId="0" borderId="0" xfId="1" applyFont="1"/>
    <xf numFmtId="0" fontId="13" fillId="0" borderId="0" xfId="0" applyFont="1" applyAlignment="1">
      <alignment horizontal="left" vertical="top" wrapText="1"/>
    </xf>
    <xf numFmtId="0" fontId="13" fillId="0" borderId="0" xfId="0" applyFont="1" applyAlignment="1">
      <alignment vertical="top" wrapText="1"/>
    </xf>
    <xf numFmtId="0" fontId="14" fillId="0" borderId="1" xfId="1" applyFont="1" applyBorder="1" applyAlignment="1">
      <alignment horizontal="left" vertical="center" wrapText="1" readingOrder="1"/>
    </xf>
    <xf numFmtId="0" fontId="14" fillId="0" borderId="0" xfId="1" applyFont="1"/>
    <xf numFmtId="0" fontId="13" fillId="0" borderId="1" xfId="1" applyFont="1" applyBorder="1" applyAlignment="1">
      <alignment wrapText="1"/>
    </xf>
    <xf numFmtId="0" fontId="13" fillId="0" borderId="1" xfId="0" applyFont="1" applyBorder="1" applyAlignment="1">
      <alignment horizontal="left" vertical="center" wrapText="1" readingOrder="1"/>
    </xf>
    <xf numFmtId="0" fontId="1" fillId="0" borderId="1" xfId="1" applyFont="1" applyBorder="1" applyAlignment="1">
      <alignment wrapText="1"/>
    </xf>
    <xf numFmtId="0" fontId="14" fillId="0" borderId="1" xfId="1" applyFont="1" applyBorder="1" applyAlignment="1">
      <alignment wrapText="1"/>
    </xf>
    <xf numFmtId="0" fontId="3" fillId="0" borderId="5" xfId="0" applyFont="1" applyBorder="1" applyAlignment="1">
      <alignment horizontal="left" vertical="center" wrapText="1" readingOrder="1"/>
    </xf>
    <xf numFmtId="0" fontId="13" fillId="0" borderId="5" xfId="0" applyFont="1" applyBorder="1" applyAlignment="1">
      <alignment horizontal="left" vertical="center" wrapText="1" readingOrder="1"/>
    </xf>
    <xf numFmtId="0" fontId="3" fillId="0" borderId="6" xfId="0" applyFont="1" applyBorder="1" applyAlignment="1">
      <alignment horizontal="left" vertical="center" wrapText="1" readingOrder="1"/>
    </xf>
    <xf numFmtId="0" fontId="13" fillId="0" borderId="6" xfId="0" applyFont="1" applyBorder="1" applyAlignment="1">
      <alignment horizontal="left" vertical="center" wrapText="1" readingOrder="1"/>
    </xf>
    <xf numFmtId="0" fontId="3" fillId="0" borderId="2" xfId="0" applyFont="1" applyBorder="1" applyAlignment="1">
      <alignment horizontal="left" vertical="center" wrapText="1" readingOrder="1"/>
    </xf>
    <xf numFmtId="0" fontId="3" fillId="0" borderId="2" xfId="1" applyFont="1" applyBorder="1" applyAlignment="1">
      <alignment horizontal="left" vertical="center" wrapText="1" readingOrder="1"/>
    </xf>
    <xf numFmtId="0" fontId="3" fillId="0" borderId="7" xfId="0" applyFont="1" applyBorder="1" applyAlignment="1">
      <alignment horizontal="left" vertical="center" wrapText="1" readingOrder="1"/>
    </xf>
    <xf numFmtId="0" fontId="3" fillId="0" borderId="7" xfId="1" applyFont="1" applyBorder="1" applyAlignment="1">
      <alignment wrapText="1"/>
    </xf>
    <xf numFmtId="0" fontId="3" fillId="0" borderId="7" xfId="1" applyFont="1" applyBorder="1"/>
    <xf numFmtId="0" fontId="3" fillId="0" borderId="1" xfId="0" applyFont="1" applyBorder="1" applyAlignment="1">
      <alignment vertical="center" wrapText="1"/>
    </xf>
    <xf numFmtId="0" fontId="1" fillId="0" borderId="1" xfId="0" applyFont="1" applyBorder="1"/>
    <xf numFmtId="0" fontId="1" fillId="0" borderId="0" xfId="1" applyFont="1"/>
    <xf numFmtId="0" fontId="13" fillId="0" borderId="0" xfId="1" applyFont="1"/>
    <xf numFmtId="0" fontId="11" fillId="5" borderId="0" xfId="0" applyFont="1" applyFill="1" applyAlignment="1">
      <alignment horizontal="left" vertical="top"/>
    </xf>
    <xf numFmtId="0" fontId="5" fillId="0" borderId="0" xfId="0" applyFont="1" applyAlignment="1">
      <alignment vertical="top" wrapText="1"/>
    </xf>
    <xf numFmtId="0" fontId="10" fillId="4" borderId="0" xfId="0" applyFont="1" applyFill="1" applyAlignment="1">
      <alignment horizontal="left" vertical="top"/>
    </xf>
    <xf numFmtId="0" fontId="11" fillId="3" borderId="0" xfId="0" applyFont="1" applyFill="1" applyAlignment="1">
      <alignment horizontal="left" vertical="top"/>
    </xf>
    <xf numFmtId="0" fontId="1" fillId="0" borderId="0" xfId="0" applyFont="1" applyAlignment="1">
      <alignment horizontal="left" vertical="top" wrapText="1"/>
    </xf>
  </cellXfs>
  <cellStyles count="3">
    <cellStyle name="Followed Hyperlink" xfId="2" builtinId="9" hidden="1"/>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mailto:dkslaughter@gmail.com" TargetMode="External"/><Relationship Id="rId21" Type="http://schemas.openxmlformats.org/officeDocument/2006/relationships/hyperlink" Target="mailto:bhesdrb@gmail.com" TargetMode="External"/><Relationship Id="rId42" Type="http://schemas.openxmlformats.org/officeDocument/2006/relationships/hyperlink" Target="mailto:cviasf@aol.com" TargetMode="External"/><Relationship Id="rId63" Type="http://schemas.openxmlformats.org/officeDocument/2006/relationships/hyperlink" Target="mailto:friendsofkansasstreet@gmail.com" TargetMode="External"/><Relationship Id="rId84" Type="http://schemas.openxmlformats.org/officeDocument/2006/relationships/hyperlink" Target="mailto:info@inner-sunset.org" TargetMode="External"/><Relationship Id="rId138" Type="http://schemas.openxmlformats.org/officeDocument/2006/relationships/hyperlink" Target="mailto:devopmentdirector@rafikicoalition.org" TargetMode="External"/><Relationship Id="rId159" Type="http://schemas.openxmlformats.org/officeDocument/2006/relationships/hyperlink" Target="mailto:sbrmbna@gmail.com" TargetMode="External"/><Relationship Id="rId170" Type="http://schemas.openxmlformats.org/officeDocument/2006/relationships/hyperlink" Target="mailto:torres.kk@gmail.com" TargetMode="External"/><Relationship Id="rId107" Type="http://schemas.openxmlformats.org/officeDocument/2006/relationships/hyperlink" Target="mailto:info@castromerchants.com" TargetMode="External"/><Relationship Id="rId11" Type="http://schemas.openxmlformats.org/officeDocument/2006/relationships/hyperlink" Target="mailto:sf_district6@yahoo.com" TargetMode="External"/><Relationship Id="rId32" Type="http://schemas.openxmlformats.org/officeDocument/2006/relationships/hyperlink" Target="mailto:info@bvnasf.org" TargetMode="External"/><Relationship Id="rId53" Type="http://schemas.openxmlformats.org/officeDocument/2006/relationships/hyperlink" Target="mailto:plu@doloresheights.org" TargetMode="External"/><Relationship Id="rId74" Type="http://schemas.openxmlformats.org/officeDocument/2006/relationships/hyperlink" Target="mailto:hand4sf@gmail.com" TargetMode="External"/><Relationship Id="rId128" Type="http://schemas.openxmlformats.org/officeDocument/2006/relationships/hyperlink" Target="mailto:micheal@sfincubator.org" TargetMode="External"/><Relationship Id="rId149" Type="http://schemas.openxmlformats.org/officeDocument/2006/relationships/hyperlink" Target="mailto:alex@sfeci.org" TargetMode="External"/><Relationship Id="rId5" Type="http://schemas.openxmlformats.org/officeDocument/2006/relationships/hyperlink" Target="mailto:rmorine@aol.com" TargetMode="External"/><Relationship Id="rId95" Type="http://schemas.openxmlformats.org/officeDocument/2006/relationships/hyperlink" Target="mailto:efromer3@gmail.com" TargetMode="External"/><Relationship Id="rId160" Type="http://schemas.openxmlformats.org/officeDocument/2006/relationships/hyperlink" Target="mailto:sisunsetneighbors@hotmail.com" TargetMode="External"/><Relationship Id="rId181" Type="http://schemas.openxmlformats.org/officeDocument/2006/relationships/hyperlink" Target="mailto:bettina.cohen@sonic.net" TargetMode="External"/><Relationship Id="rId22" Type="http://schemas.openxmlformats.org/officeDocument/2006/relationships/hyperlink" Target="mailto:shyatt@bhnc.org" TargetMode="External"/><Relationship Id="rId43" Type="http://schemas.openxmlformats.org/officeDocument/2006/relationships/hyperlink" Target="mailto:admin@turkxtaylor.net" TargetMode="External"/><Relationship Id="rId64" Type="http://schemas.openxmlformats.org/officeDocument/2006/relationships/hyperlink" Target="mailto:havelockstreetbridge@gmail.com" TargetMode="External"/><Relationship Id="rId118" Type="http://schemas.openxmlformats.org/officeDocument/2006/relationships/hyperlink" Target="mailto:nrg830olmstead@gmail.com" TargetMode="External"/><Relationship Id="rId139" Type="http://schemas.openxmlformats.org/officeDocument/2006/relationships/hyperlink" Target="mailto:respectnoevalleyneighbors@gmail.com" TargetMode="External"/><Relationship Id="rId85" Type="http://schemas.openxmlformats.org/officeDocument/2006/relationships/hyperlink" Target="mailto:sarah@sarahstocking.com" TargetMode="External"/><Relationship Id="rId150" Type="http://schemas.openxmlformats.org/officeDocument/2006/relationships/hyperlink" Target="mailto:garysfx@gmail.com" TargetMode="External"/><Relationship Id="rId171" Type="http://schemas.openxmlformats.org/officeDocument/2006/relationships/hyperlink" Target="mailto:nancyob6@comcast.net" TargetMode="External"/><Relationship Id="rId12" Type="http://schemas.openxmlformats.org/officeDocument/2006/relationships/hyperlink" Target="mailto:info@apaccsf.org" TargetMode="External"/><Relationship Id="rId33" Type="http://schemas.openxmlformats.org/officeDocument/2006/relationships/hyperlink" Target="mailto:cabrillo-alley-neighbors-association@googlegroups.com" TargetMode="External"/><Relationship Id="rId108" Type="http://schemas.openxmlformats.org/officeDocument/2006/relationships/hyperlink" Target="mailto:moe@middlepolk.org" TargetMode="External"/><Relationship Id="rId129" Type="http://schemas.openxmlformats.org/officeDocument/2006/relationships/hyperlink" Target="mailto:sfplanningdepartment@onebayview.com" TargetMode="External"/><Relationship Id="rId54" Type="http://schemas.openxmlformats.org/officeDocument/2006/relationships/hyperlink" Target="mailto:landuse@dtna.org" TargetMode="External"/><Relationship Id="rId75" Type="http://schemas.openxmlformats.org/officeDocument/2006/relationships/hyperlink" Target="mailto:sfhaptic@gmail.com" TargetMode="External"/><Relationship Id="rId96" Type="http://schemas.openxmlformats.org/officeDocument/2006/relationships/hyperlink" Target="mailto:lincolnmanorsf@gmail.com" TargetMode="External"/><Relationship Id="rId140" Type="http://schemas.openxmlformats.org/officeDocument/2006/relationships/hyperlink" Target="mailto:joseph_smooke@yahoo.com" TargetMode="External"/><Relationship Id="rId161" Type="http://schemas.openxmlformats.org/officeDocument/2006/relationships/hyperlink" Target="mailto:standinpeacecommunityprograms@gmail.com" TargetMode="External"/><Relationship Id="rId182" Type="http://schemas.openxmlformats.org/officeDocument/2006/relationships/hyperlink" Target="mailto:hello@keepcrockerreal.com" TargetMode="External"/><Relationship Id="rId6" Type="http://schemas.openxmlformats.org/officeDocument/2006/relationships/hyperlink" Target="mailto:eddiestiel@yahoo.com" TargetMode="External"/><Relationship Id="rId23" Type="http://schemas.openxmlformats.org/officeDocument/2006/relationships/hyperlink" Target="mailto:info@betterhousingpolicies.org" TargetMode="External"/><Relationship Id="rId119" Type="http://schemas.openxmlformats.org/officeDocument/2006/relationships/hyperlink" Target="mailto:harrietrohmer@gmail.com" TargetMode="External"/><Relationship Id="rId44" Type="http://schemas.openxmlformats.org/officeDocument/2006/relationships/hyperlink" Target="mailto:judigorski@gmail.com" TargetMode="External"/><Relationship Id="rId65" Type="http://schemas.openxmlformats.org/officeDocument/2006/relationships/hyperlink" Target="mailto:brian@friendsofharveymilkplaza.org" TargetMode="External"/><Relationship Id="rId86" Type="http://schemas.openxmlformats.org/officeDocument/2006/relationships/hyperlink" Target="mailto:info@jtowncbd.org" TargetMode="External"/><Relationship Id="rId130" Type="http://schemas.openxmlformats.org/officeDocument/2006/relationships/hyperlink" Target="mailto:ethanhough@gmail.com" TargetMode="External"/><Relationship Id="rId151" Type="http://schemas.openxmlformats.org/officeDocument/2006/relationships/hyperlink" Target="mailto:info@sfsafe.org" TargetMode="External"/><Relationship Id="rId172" Type="http://schemas.openxmlformats.org/officeDocument/2006/relationships/hyperlink" Target="mailto:info@unionsquarebid.com" TargetMode="External"/><Relationship Id="rId13" Type="http://schemas.openxmlformats.org/officeDocument/2006/relationships/hyperlink" Target="mailto:avilastreetcorridor@gmail.com" TargetMode="External"/><Relationship Id="rId18" Type="http://schemas.openxmlformats.org/officeDocument/2006/relationships/hyperlink" Target="mailto:bvhna.secretary@gmail.com" TargetMode="External"/><Relationship Id="rId39" Type="http://schemas.openxmlformats.org/officeDocument/2006/relationships/hyperlink" Target="mailto:hello@clementstreetsf.com" TargetMode="External"/><Relationship Id="rId109" Type="http://schemas.openxmlformats.org/officeDocument/2006/relationships/hyperlink" Target="mailto:info@midmarketcbd.org" TargetMode="External"/><Relationship Id="rId34" Type="http://schemas.openxmlformats.org/officeDocument/2006/relationships/hyperlink" Target="mailto:alexwt@me.com" TargetMode="External"/><Relationship Id="rId50" Type="http://schemas.openxmlformats.org/officeDocument/2006/relationships/hyperlink" Target="mailto:chakabutt@yahoo.com" TargetMode="External"/><Relationship Id="rId55" Type="http://schemas.openxmlformats.org/officeDocument/2006/relationships/hyperlink" Target="mailto:earl@edotbayview.com" TargetMode="External"/><Relationship Id="rId76" Type="http://schemas.openxmlformats.org/officeDocument/2006/relationships/hyperlink" Target="mailto:info@hvsba.org" TargetMode="External"/><Relationship Id="rId97" Type="http://schemas.openxmlformats.org/officeDocument/2006/relationships/hyperlink" Target="mailto:lowerhaight415@gmail.com" TargetMode="External"/><Relationship Id="rId104" Type="http://schemas.openxmlformats.org/officeDocument/2006/relationships/hyperlink" Target="mailto:olssonted@yahoo.com" TargetMode="External"/><Relationship Id="rId120" Type="http://schemas.openxmlformats.org/officeDocument/2006/relationships/hyperlink" Target="mailto:nopawestneighbors@gmail.com" TargetMode="External"/><Relationship Id="rId125" Type="http://schemas.openxmlformats.org/officeDocument/2006/relationships/hyperlink" Target="mailto:nwbhdrb@gmail.com" TargetMode="External"/><Relationship Id="rId141" Type="http://schemas.openxmlformats.org/officeDocument/2006/relationships/hyperlink" Target="mailto:zoning@rhnsf.org" TargetMode="External"/><Relationship Id="rId146" Type="http://schemas.openxmlformats.org/officeDocument/2006/relationships/hyperlink" Target="mailto:info@sfcitywide.org" TargetMode="External"/><Relationship Id="rId167" Type="http://schemas.openxmlformats.org/officeDocument/2006/relationships/hyperlink" Target="mailto:pz@thd.org" TargetMode="External"/><Relationship Id="rId7" Type="http://schemas.openxmlformats.org/officeDocument/2006/relationships/hyperlink" Target="mailto:brownmi@stanford.edu" TargetMode="External"/><Relationship Id="rId71" Type="http://schemas.openxmlformats.org/officeDocument/2006/relationships/hyperlink" Target="mailto:president@gwpna.org" TargetMode="External"/><Relationship Id="rId92" Type="http://schemas.openxmlformats.org/officeDocument/2006/relationships/hyperlink" Target="mailto:LPOA@lakesidepoa.org" TargetMode="External"/><Relationship Id="rId162" Type="http://schemas.openxmlformats.org/officeDocument/2006/relationships/hyperlink" Target="mailto:info@sunnysideassociation.org" TargetMode="External"/><Relationship Id="rId183" Type="http://schemas.openxmlformats.org/officeDocument/2006/relationships/hyperlink" Target="mailto:jrubio@medasf.org" TargetMode="External"/><Relationship Id="rId2" Type="http://schemas.openxmlformats.org/officeDocument/2006/relationships/hyperlink" Target="mailto:mhesse@pacbell.net" TargetMode="External"/><Relationship Id="rId29" Type="http://schemas.openxmlformats.org/officeDocument/2006/relationships/hyperlink" Target="mailto:Abigail.Rivamontemesa@sfgov.org;" TargetMode="External"/><Relationship Id="rId24" Type="http://schemas.openxmlformats.org/officeDocument/2006/relationships/hyperlink" Target="mailto:waltonstaff@sfgov.org" TargetMode="External"/><Relationship Id="rId40" Type="http://schemas.openxmlformats.org/officeDocument/2006/relationships/hyperlink" Target="mailto:CSFNnotices@gmail.com" TargetMode="External"/><Relationship Id="rId45" Type="http://schemas.openxmlformats.org/officeDocument/2006/relationships/hyperlink" Target="mailto:info@corbettneighbors.com" TargetMode="External"/><Relationship Id="rId66" Type="http://schemas.openxmlformats.org/officeDocument/2006/relationships/hyperlink" Target="mailto:hello@sunsetdunes.org" TargetMode="External"/><Relationship Id="rId87" Type="http://schemas.openxmlformats.org/officeDocument/2006/relationships/hyperlink" Target="mailto:rich.hashimoto@gmail.com" TargetMode="External"/><Relationship Id="rId110" Type="http://schemas.openxmlformats.org/officeDocument/2006/relationships/hyperlink" Target="mailto:chuck@midmarketneighbors.org" TargetMode="External"/><Relationship Id="rId115" Type="http://schemas.openxmlformats.org/officeDocument/2006/relationships/hyperlink" Target="mailto:ryen@missionmerchants.org" TargetMode="External"/><Relationship Id="rId131" Type="http://schemas.openxmlformats.org/officeDocument/2006/relationships/hyperlink" Target="mailto:sjgorskilaw@gmail.com" TargetMode="External"/><Relationship Id="rId136" Type="http://schemas.openxmlformats.org/officeDocument/2006/relationships/hyperlink" Target="mailto:info@podersf.org" TargetMode="External"/><Relationship Id="rId157" Type="http://schemas.openxmlformats.org/officeDocument/2006/relationships/hyperlink" Target="mailto:swneighborhoodassociation@gmail.com" TargetMode="External"/><Relationship Id="rId178" Type="http://schemas.openxmlformats.org/officeDocument/2006/relationships/hyperlink" Target="mailto:westsidebestsidesf@gmail.com" TargetMode="External"/><Relationship Id="rId61" Type="http://schemas.openxmlformats.org/officeDocument/2006/relationships/hyperlink" Target="mailto:danielb.landry@yahoo.com" TargetMode="External"/><Relationship Id="rId82" Type="http://schemas.openxmlformats.org/officeDocument/2006/relationships/hyperlink" Target="mailto:innersunsetmerchants@gmail.com" TargetMode="External"/><Relationship Id="rId152" Type="http://schemas.openxmlformats.org/officeDocument/2006/relationships/hyperlink" Target="mailto:neighbor@sfcov.org" TargetMode="External"/><Relationship Id="rId173" Type="http://schemas.openxmlformats.org/officeDocument/2006/relationships/hyperlink" Target="mailto:upperchinatownassociation@gmail.com" TargetMode="External"/><Relationship Id="rId19" Type="http://schemas.openxmlformats.org/officeDocument/2006/relationships/hyperlink" Target="mailto:bayviewcac@sfgov.org" TargetMode="External"/><Relationship Id="rId14" Type="http://schemas.openxmlformats.org/officeDocument/2006/relationships/hyperlink" Target="mailto:bthaboard@balboaterrace.org" TargetMode="External"/><Relationship Id="rId30" Type="http://schemas.openxmlformats.org/officeDocument/2006/relationships/hyperlink" Target="mailto:jonhenry@bsotc.org" TargetMode="External"/><Relationship Id="rId35" Type="http://schemas.openxmlformats.org/officeDocument/2006/relationships/hyperlink" Target="mailto:landuse@castrolgbtq.org" TargetMode="External"/><Relationship Id="rId56" Type="http://schemas.openxmlformats.org/officeDocument/2006/relationships/hyperlink" Target="mailto:alicearonow@gmail.com" TargetMode="External"/><Relationship Id="rId77" Type="http://schemas.openxmlformats.org/officeDocument/2006/relationships/hyperlink" Target="mailto:info@hvsafe.com" TargetMode="External"/><Relationship Id="rId100" Type="http://schemas.openxmlformats.org/officeDocument/2006/relationships/hyperlink" Target="mailto:lowerpolkneighbors@gmail.com" TargetMode="External"/><Relationship Id="rId105" Type="http://schemas.openxmlformats.org/officeDocument/2006/relationships/hyperlink" Target="mailto:mmoreno@citiscapesf.com" TargetMode="External"/><Relationship Id="rId126" Type="http://schemas.openxmlformats.org/officeDocument/2006/relationships/hyperlink" Target="mailto:leeway_e@yahoo.com" TargetMode="External"/><Relationship Id="rId147" Type="http://schemas.openxmlformats.org/officeDocument/2006/relationships/hyperlink" Target="mailto:sfforestnews@gmail.com" TargetMode="External"/><Relationship Id="rId168" Type="http://schemas.openxmlformats.org/officeDocument/2006/relationships/hyperlink" Target="mailto:earguello@glide.org" TargetMode="External"/><Relationship Id="rId8" Type="http://schemas.openxmlformats.org/officeDocument/2006/relationships/hyperlink" Target="mailto:cardinalsf@gmail.com" TargetMode="External"/><Relationship Id="rId51" Type="http://schemas.openxmlformats.org/officeDocument/2006/relationships/hyperlink" Target="mailto:duncan@discoverpolk.org" TargetMode="External"/><Relationship Id="rId72" Type="http://schemas.openxmlformats.org/officeDocument/2006/relationships/hyperlink" Target="mailto:greenaction@greenaction.org" TargetMode="External"/><Relationship Id="rId93" Type="http://schemas.openxmlformats.org/officeDocument/2006/relationships/hyperlink" Target="mailto:KRDevincenzi@gmail.com" TargetMode="External"/><Relationship Id="rId98" Type="http://schemas.openxmlformats.org/officeDocument/2006/relationships/hyperlink" Target="mailto:notices@bureausf.com" TargetMode="External"/><Relationship Id="rId121" Type="http://schemas.openxmlformats.org/officeDocument/2006/relationships/hyperlink" Target="mailto:nshan@mindspring.com" TargetMode="External"/><Relationship Id="rId142" Type="http://schemas.openxmlformats.org/officeDocument/2006/relationships/hyperlink" Target="mailto:traciteraoka@me.com" TargetMode="External"/><Relationship Id="rId163" Type="http://schemas.openxmlformats.org/officeDocument/2006/relationships/hyperlink" Target="mailto:lancemellon@hotmail.com" TargetMode="External"/><Relationship Id="rId184" Type="http://schemas.openxmlformats.org/officeDocument/2006/relationships/hyperlink" Target="mailto:hestor@earthlink.net" TargetMode="External"/><Relationship Id="rId3" Type="http://schemas.openxmlformats.org/officeDocument/2006/relationships/hyperlink" Target="mailto:j.benjamin.fisher@gmail.com" TargetMode="External"/><Relationship Id="rId25" Type="http://schemas.openxmlformats.org/officeDocument/2006/relationships/hyperlink" Target="mailto:ahsha.safai@sfgov.org" TargetMode="External"/><Relationship Id="rId46" Type="http://schemas.openxmlformats.org/officeDocument/2006/relationships/hyperlink" Target="mailto:bjhassoc@comcast.net" TargetMode="External"/><Relationship Id="rId67" Type="http://schemas.openxmlformats.org/officeDocument/2006/relationships/hyperlink" Target="mailto:glenparkurbanists@gmail.com" TargetMode="External"/><Relationship Id="rId116" Type="http://schemas.openxmlformats.org/officeDocument/2006/relationships/hyperlink" Target="mailto:loanhound@sbcglobal.net" TargetMode="External"/><Relationship Id="rId137" Type="http://schemas.openxmlformats.org/officeDocument/2006/relationships/hyperlink" Target="mailto:dgumpire@aol.com" TargetMode="External"/><Relationship Id="rId158" Type="http://schemas.openxmlformats.org/officeDocument/2006/relationships/hyperlink" Target="mailto:somabend.na@gmail.com" TargetMode="External"/><Relationship Id="rId20" Type="http://schemas.openxmlformats.org/officeDocument/2006/relationships/hyperlink" Target="mailto:bernalcutpath@gmail.com" TargetMode="External"/><Relationship Id="rId41" Type="http://schemas.openxmlformats.org/officeDocument/2006/relationships/hyperlink" Target="mailto:jasonzjungreis@gmail.com" TargetMode="External"/><Relationship Id="rId62" Type="http://schemas.openxmlformats.org/officeDocument/2006/relationships/hyperlink" Target="mailto:nohoo999@yahoo.com" TargetMode="External"/><Relationship Id="rId83" Type="http://schemas.openxmlformats.org/officeDocument/2006/relationships/hyperlink" Target="mailto:mariawabl@gmail.com" TargetMode="External"/><Relationship Id="rId88" Type="http://schemas.openxmlformats.org/officeDocument/2006/relationships/hyperlink" Target="mailto:gnakahara@yahoo.com" TargetMode="External"/><Relationship Id="rId111" Type="http://schemas.openxmlformats.org/officeDocument/2006/relationships/hyperlink" Target="mailto:info@missionawarenessproject.com" TargetMode="External"/><Relationship Id="rId132" Type="http://schemas.openxmlformats.org/officeDocument/2006/relationships/hyperlink" Target="mailto:sfommra@gmail.com" TargetMode="External"/><Relationship Id="rId153" Type="http://schemas.openxmlformats.org/officeDocument/2006/relationships/hyperlink" Target="mailto:dannyc@smw104.org" TargetMode="External"/><Relationship Id="rId174" Type="http://schemas.openxmlformats.org/officeDocument/2006/relationships/hyperlink" Target="mailto:andy@levinearch.com" TargetMode="External"/><Relationship Id="rId179" Type="http://schemas.openxmlformats.org/officeDocument/2006/relationships/hyperlink" Target="mailto:joseph_smooke@yahoo.com" TargetMode="External"/><Relationship Id="rId15" Type="http://schemas.openxmlformats.org/officeDocument/2006/relationships/hyperlink" Target="mailto:yukaioroi@gmail.com" TargetMode="External"/><Relationship Id="rId36" Type="http://schemas.openxmlformats.org/officeDocument/2006/relationships/hyperlink" Target="mailto:info@castromerchants.com" TargetMode="External"/><Relationship Id="rId57" Type="http://schemas.openxmlformats.org/officeDocument/2006/relationships/hyperlink" Target="mailto:smortens@earthlink.net" TargetMode="External"/><Relationship Id="rId106" Type="http://schemas.openxmlformats.org/officeDocument/2006/relationships/hyperlink" Target="mailto:larnder@aol.com" TargetMode="External"/><Relationship Id="rId127" Type="http://schemas.openxmlformats.org/officeDocument/2006/relationships/hyperlink" Target="mailto:christianm@oaacbd.org" TargetMode="External"/><Relationship Id="rId10" Type="http://schemas.openxmlformats.org/officeDocument/2006/relationships/hyperlink" Target="mailto:lchinflute@gmail.com" TargetMode="External"/><Relationship Id="rId31" Type="http://schemas.openxmlformats.org/officeDocument/2006/relationships/hyperlink" Target="mailto:brannanowner@yahoo.com" TargetMode="External"/><Relationship Id="rId52" Type="http://schemas.openxmlformats.org/officeDocument/2006/relationships/hyperlink" Target="mailto:vp@dogpatchna.org" TargetMode="External"/><Relationship Id="rId73" Type="http://schemas.openxmlformats.org/officeDocument/2006/relationships/hyperlink" Target="mailto:hello@growtherichmond.com" TargetMode="External"/><Relationship Id="rId78" Type="http://schemas.openxmlformats.org/officeDocument/2006/relationships/hyperlink" Target="mailto:aron.deorsey@gmail.com" TargetMode="External"/><Relationship Id="rId94" Type="http://schemas.openxmlformats.org/officeDocument/2006/relationships/hyperlink" Target="mailto:info@liberationalliance.org" TargetMode="External"/><Relationship Id="rId99" Type="http://schemas.openxmlformats.org/officeDocument/2006/relationships/hyperlink" Target="mailto:david_villalobos@sbcglobal.net" TargetMode="External"/><Relationship Id="rId101" Type="http://schemas.openxmlformats.org/officeDocument/2006/relationships/hyperlink" Target="mailto:ec@lowernobhill.org" TargetMode="External"/><Relationship Id="rId122" Type="http://schemas.openxmlformats.org/officeDocument/2006/relationships/hyperlink" Target="mailto:coittower2014@gmail.com" TargetMode="External"/><Relationship Id="rId143" Type="http://schemas.openxmlformats.org/officeDocument/2006/relationships/hyperlink" Target="mailto:sfplanningnotice@SFTU.org" TargetMode="External"/><Relationship Id="rId148" Type="http://schemas.openxmlformats.org/officeDocument/2006/relationships/hyperlink" Target="mailto:cdillard@sfchristiancenter.org" TargetMode="External"/><Relationship Id="rId164" Type="http://schemas.openxmlformats.org/officeDocument/2006/relationships/hyperlink" Target="mailto:sharp@sharpsf.com" TargetMode="External"/><Relationship Id="rId169" Type="http://schemas.openxmlformats.org/officeDocument/2006/relationships/hyperlink" Target="mailto:aharvey@tjpa.org" TargetMode="External"/><Relationship Id="rId185" Type="http://schemas.openxmlformats.org/officeDocument/2006/relationships/printerSettings" Target="../printerSettings/printerSettings1.bin"/><Relationship Id="rId4" Type="http://schemas.openxmlformats.org/officeDocument/2006/relationships/hyperlink" Target="mailto:schuttishtr@sbcglobal.net" TargetMode="External"/><Relationship Id="rId9" Type="http://schemas.openxmlformats.org/officeDocument/2006/relationships/hyperlink" Target="mailto:hershmari@gmail.com" TargetMode="External"/><Relationship Id="rId180" Type="http://schemas.openxmlformats.org/officeDocument/2006/relationships/hyperlink" Target="mailto:bplater@wildequity.org" TargetMode="External"/><Relationship Id="rId26" Type="http://schemas.openxmlformats.org/officeDocument/2006/relationships/hyperlink" Target="mailto:connie.chan@sfgov.org;" TargetMode="External"/><Relationship Id="rId47" Type="http://schemas.openxmlformats.org/officeDocument/2006/relationships/hyperlink" Target="mailto:rclistad@gmail.com" TargetMode="External"/><Relationship Id="rId68" Type="http://schemas.openxmlformats.org/officeDocument/2006/relationships/hyperlink" Target="mailto:alec.bash@gmail.com" TargetMode="External"/><Relationship Id="rId89" Type="http://schemas.openxmlformats.org/officeDocument/2006/relationships/hyperlink" Target="mailto:kansas.safeassociation@gmail.com" TargetMode="External"/><Relationship Id="rId112" Type="http://schemas.openxmlformats.org/officeDocument/2006/relationships/hyperlink" Target="mailto:missiondna@earthlink.net" TargetMode="External"/><Relationship Id="rId133" Type="http://schemas.openxmlformats.org/officeDocument/2006/relationships/hyperlink" Target="mailto:mediasusan2@gmail.com" TargetMode="External"/><Relationship Id="rId154" Type="http://schemas.openxmlformats.org/officeDocument/2006/relationships/hyperlink" Target="mailto:sw8644@sherwin.com" TargetMode="External"/><Relationship Id="rId175" Type="http://schemas.openxmlformats.org/officeDocument/2006/relationships/hyperlink" Target="mailto:Vermont500NA@gmail.com" TargetMode="External"/><Relationship Id="rId16" Type="http://schemas.openxmlformats.org/officeDocument/2006/relationships/hyperlink" Target="mailto:bcna@bcnasf.org" TargetMode="External"/><Relationship Id="rId37" Type="http://schemas.openxmlformats.org/officeDocument/2006/relationships/hyperlink" Target="mailto:cayugaimprovement@gmail.com" TargetMode="External"/><Relationship Id="rId58" Type="http://schemas.openxmlformats.org/officeDocument/2006/relationships/hyperlink" Target="mailto:president@evna.org" TargetMode="External"/><Relationship Id="rId79" Type="http://schemas.openxmlformats.org/officeDocument/2006/relationships/hyperlink" Target="mailto:antonio.flores@viceroyhotelgroup.com" TargetMode="External"/><Relationship Id="rId102" Type="http://schemas.openxmlformats.org/officeDocument/2006/relationships/hyperlink" Target="mailto:msadv@pacbell.net;" TargetMode="External"/><Relationship Id="rId123" Type="http://schemas.openxmlformats.org/officeDocument/2006/relationships/hyperlink" Target="mailto:jessica.ho@nems.org" TargetMode="External"/><Relationship Id="rId144" Type="http://schemas.openxmlformats.org/officeDocument/2006/relationships/hyperlink" Target="mailto:savethemarinaheritage@gmail.com" TargetMode="External"/><Relationship Id="rId90" Type="http://schemas.openxmlformats.org/officeDocument/2006/relationships/hyperlink" Target="mailto:kronquist@asai-sf.com" TargetMode="External"/><Relationship Id="rId165" Type="http://schemas.openxmlformats.org/officeDocument/2006/relationships/hyperlink" Target="mailto:marcabruno@yahoo.com" TargetMode="External"/><Relationship Id="rId27" Type="http://schemas.openxmlformats.org/officeDocument/2006/relationships/hyperlink" Target="mailto:SherrillStaff@sfgov.org" TargetMode="External"/><Relationship Id="rId48" Type="http://schemas.openxmlformats.org/officeDocument/2006/relationships/hyperlink" Target="mailto:D4ward.info@gmail.com" TargetMode="External"/><Relationship Id="rId69" Type="http://schemas.openxmlformats.org/officeDocument/2006/relationships/hyperlink" Target="mailto:info@gearyblvd.org" TargetMode="External"/><Relationship Id="rId113" Type="http://schemas.openxmlformats.org/officeDocument/2006/relationships/hyperlink" Target="mailto:joe.rivanobarros@missionlocal.com" TargetMode="External"/><Relationship Id="rId134" Type="http://schemas.openxmlformats.org/officeDocument/2006/relationships/hyperlink" Target="mailto:outlands.planning@gmail.com" TargetMode="External"/><Relationship Id="rId80" Type="http://schemas.openxmlformats.org/officeDocument/2006/relationships/hyperlink" Target="mailto:fred@hrcsf.org" TargetMode="External"/><Relationship Id="rId155" Type="http://schemas.openxmlformats.org/officeDocument/2006/relationships/hyperlink" Target="mailto:pmmsfo@gmail.com" TargetMode="External"/><Relationship Id="rId176" Type="http://schemas.openxmlformats.org/officeDocument/2006/relationships/hyperlink" Target="mailto:joyce@mediabook.com" TargetMode="External"/><Relationship Id="rId17" Type="http://schemas.openxmlformats.org/officeDocument/2006/relationships/hyperlink" Target="mailto:bvhpwatch@mac.com" TargetMode="External"/><Relationship Id="rId38" Type="http://schemas.openxmlformats.org/officeDocument/2006/relationships/hyperlink" Target="mailto:info@sfciviccenter.org" TargetMode="External"/><Relationship Id="rId59" Type="http://schemas.openxmlformats.org/officeDocument/2006/relationships/hyperlink" Target="mailto:melfloressf@gmail.com" TargetMode="External"/><Relationship Id="rId103" Type="http://schemas.openxmlformats.org/officeDocument/2006/relationships/hyperlink" Target="mailto:grow@demonstration-gardens.org" TargetMode="External"/><Relationship Id="rId124" Type="http://schemas.openxmlformats.org/officeDocument/2006/relationships/hyperlink" Target="mailto:hello@northernneighbors.org" TargetMode="External"/><Relationship Id="rId70" Type="http://schemas.openxmlformats.org/officeDocument/2006/relationships/hyperlink" Target="mailto:brunswick@sbcglobal.net" TargetMode="External"/><Relationship Id="rId91" Type="http://schemas.openxmlformats.org/officeDocument/2006/relationships/hyperlink" Target="mailto:bwelch711@gmail.com" TargetMode="External"/><Relationship Id="rId145" Type="http://schemas.openxmlformats.org/officeDocument/2006/relationships/hyperlink" Target="mailto:SeaCliffCares@tempel.net" TargetMode="External"/><Relationship Id="rId166" Type="http://schemas.openxmlformats.org/officeDocument/2006/relationships/hyperlink" Target="mailto:president@thd.org" TargetMode="External"/><Relationship Id="rId1" Type="http://schemas.openxmlformats.org/officeDocument/2006/relationships/hyperlink" Target="mailto:barry_perkins@yahoo.com" TargetMode="External"/><Relationship Id="rId28" Type="http://schemas.openxmlformats.org/officeDocument/2006/relationships/hyperlink" Target="mailto:Tiff.Lee@sfgov.org" TargetMode="External"/><Relationship Id="rId49" Type="http://schemas.openxmlformats.org/officeDocument/2006/relationships/hyperlink" Target="mailto:dhcasf@gmail.com" TargetMode="External"/><Relationship Id="rId114" Type="http://schemas.openxmlformats.org/officeDocument/2006/relationships/hyperlink" Target="mailto:pflesser555@outlook.com" TargetMode="External"/><Relationship Id="rId60" Type="http://schemas.openxmlformats.org/officeDocument/2006/relationships/hyperlink" Target="mailto:lpitcher@familyequitypartnerssf.org" TargetMode="External"/><Relationship Id="rId81" Type="http://schemas.openxmlformats.org/officeDocument/2006/relationships/hyperlink" Target="mailto:President@ithasf.org" TargetMode="External"/><Relationship Id="rId135" Type="http://schemas.openxmlformats.org/officeDocument/2006/relationships/hyperlink" Target="mailto:parkmercedac@gmail.com" TargetMode="External"/><Relationship Id="rId156" Type="http://schemas.openxmlformats.org/officeDocument/2006/relationships/hyperlink" Target="mailto:sfloans@sbcglobal.net" TargetMode="External"/><Relationship Id="rId177" Type="http://schemas.openxmlformats.org/officeDocument/2006/relationships/hyperlink" Target="mailto:fma6764860@ao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18"/>
  <sheetViews>
    <sheetView tabSelected="1" topLeftCell="C1" zoomScale="90" zoomScaleNormal="90" workbookViewId="0">
      <pane ySplit="1" topLeftCell="A2" activePane="bottomLeft" state="frozen"/>
      <selection pane="bottomLeft" activeCell="C261" sqref="C261"/>
    </sheetView>
  </sheetViews>
  <sheetFormatPr defaultColWidth="8.85546875" defaultRowHeight="12.75" x14ac:dyDescent="0.25"/>
  <cols>
    <col min="1" max="1" width="12" style="23" hidden="1" customWidth="1"/>
    <col min="2" max="2" width="13.85546875" style="23" hidden="1" customWidth="1"/>
    <col min="3" max="3" width="23.42578125" style="23" customWidth="1"/>
    <col min="4" max="4" width="33.42578125" style="23" customWidth="1"/>
    <col min="5" max="5" width="28.85546875" style="23" customWidth="1"/>
    <col min="6" max="6" width="17.42578125" style="23" customWidth="1"/>
    <col min="7" max="7" width="7.140625" style="23" customWidth="1"/>
    <col min="8" max="8" width="12.42578125" style="23" customWidth="1"/>
    <col min="9" max="9" width="14.7109375" style="23" customWidth="1"/>
    <col min="10" max="10" width="33.7109375" style="37" customWidth="1"/>
    <col min="11" max="11" width="28.85546875" style="23" customWidth="1"/>
    <col min="12" max="12" width="29.140625" style="23" customWidth="1"/>
    <col min="13" max="13" width="8.85546875" style="3" customWidth="1"/>
    <col min="14" max="16384" width="8.85546875" style="3"/>
  </cols>
  <sheetData>
    <row r="1" spans="1:12" s="2" customFormat="1" ht="26.45" customHeight="1" x14ac:dyDescent="0.25">
      <c r="A1" s="18" t="s">
        <v>0</v>
      </c>
      <c r="B1" s="18" t="s">
        <v>1</v>
      </c>
      <c r="C1" s="18" t="s">
        <v>2</v>
      </c>
      <c r="D1" s="18" t="s">
        <v>3</v>
      </c>
      <c r="E1" s="18" t="s">
        <v>4</v>
      </c>
      <c r="F1" s="18" t="s">
        <v>5</v>
      </c>
      <c r="G1" s="18" t="s">
        <v>6</v>
      </c>
      <c r="H1" s="18" t="s">
        <v>7</v>
      </c>
      <c r="I1" s="19" t="s">
        <v>8</v>
      </c>
      <c r="J1" s="36" t="s">
        <v>9</v>
      </c>
      <c r="K1" s="20" t="s">
        <v>10</v>
      </c>
      <c r="L1" s="20" t="s">
        <v>11</v>
      </c>
    </row>
    <row r="2" spans="1:12" s="1" customFormat="1" x14ac:dyDescent="0.2">
      <c r="A2" s="1" t="s">
        <v>12</v>
      </c>
      <c r="B2" s="1" t="s">
        <v>13</v>
      </c>
      <c r="C2" s="1" t="str">
        <f t="shared" ref="C2:C8" si="0">A2&amp;" "&amp;B2</f>
        <v>Aaron Peskin</v>
      </c>
      <c r="D2" s="1" t="s">
        <v>14</v>
      </c>
      <c r="E2" s="1" t="s">
        <v>15</v>
      </c>
      <c r="F2" s="1" t="s">
        <v>16</v>
      </c>
      <c r="G2" s="1" t="s">
        <v>17</v>
      </c>
      <c r="H2" s="1" t="s">
        <v>18</v>
      </c>
      <c r="I2" s="1" t="s">
        <v>19</v>
      </c>
      <c r="J2" s="17" t="s">
        <v>20</v>
      </c>
      <c r="K2" s="17" t="s">
        <v>21</v>
      </c>
      <c r="L2" s="1" t="s">
        <v>22</v>
      </c>
    </row>
    <row r="3" spans="1:12" s="1" customFormat="1" x14ac:dyDescent="0.2">
      <c r="A3" s="1" t="s">
        <v>23</v>
      </c>
      <c r="B3" s="1" t="s">
        <v>24</v>
      </c>
      <c r="C3" s="1" t="str">
        <f t="shared" si="0"/>
        <v>Barry Perkins</v>
      </c>
      <c r="D3" s="1" t="s">
        <v>14</v>
      </c>
      <c r="E3" s="1" t="s">
        <v>25</v>
      </c>
      <c r="F3" s="1" t="s">
        <v>16</v>
      </c>
      <c r="G3" s="1" t="s">
        <v>17</v>
      </c>
      <c r="H3" s="1">
        <v>94115</v>
      </c>
      <c r="I3" s="1" t="s">
        <v>26</v>
      </c>
      <c r="J3" s="15" t="s">
        <v>27</v>
      </c>
      <c r="K3" s="15" t="s">
        <v>21</v>
      </c>
      <c r="L3" s="1" t="s">
        <v>28</v>
      </c>
    </row>
    <row r="4" spans="1:12" s="1" customFormat="1" x14ac:dyDescent="0.2">
      <c r="A4" s="1" t="s">
        <v>29</v>
      </c>
      <c r="B4" s="1" t="s">
        <v>30</v>
      </c>
      <c r="C4" s="1" t="str">
        <f t="shared" si="0"/>
        <v>Marianne Hesse</v>
      </c>
      <c r="D4" s="1" t="s">
        <v>14</v>
      </c>
      <c r="E4" s="1" t="s">
        <v>31</v>
      </c>
      <c r="F4" s="1" t="s">
        <v>16</v>
      </c>
      <c r="G4" s="1" t="s">
        <v>17</v>
      </c>
      <c r="H4" s="1">
        <v>94117</v>
      </c>
      <c r="I4" s="1" t="s">
        <v>32</v>
      </c>
      <c r="J4" s="15" t="s">
        <v>33</v>
      </c>
      <c r="K4" s="15" t="s">
        <v>21</v>
      </c>
      <c r="L4" s="1" t="s">
        <v>34</v>
      </c>
    </row>
    <row r="5" spans="1:12" s="1" customFormat="1" ht="26.45" customHeight="1" x14ac:dyDescent="0.2">
      <c r="A5" s="1" t="s">
        <v>39</v>
      </c>
      <c r="B5" s="1" t="s">
        <v>40</v>
      </c>
      <c r="C5" s="1" t="str">
        <f t="shared" si="0"/>
        <v>James Fisher</v>
      </c>
      <c r="D5" s="1" t="s">
        <v>14</v>
      </c>
      <c r="E5" s="1" t="s">
        <v>41</v>
      </c>
      <c r="F5" s="1" t="s">
        <v>42</v>
      </c>
      <c r="G5" s="1" t="s">
        <v>17</v>
      </c>
      <c r="H5" s="1">
        <v>95014</v>
      </c>
      <c r="I5" s="1" t="s">
        <v>43</v>
      </c>
      <c r="J5" s="15" t="s">
        <v>44</v>
      </c>
      <c r="K5" s="15" t="s">
        <v>21</v>
      </c>
      <c r="L5" s="1" t="s">
        <v>28</v>
      </c>
    </row>
    <row r="6" spans="1:12" s="1" customFormat="1" x14ac:dyDescent="0.2">
      <c r="A6" s="1" t="s">
        <v>45</v>
      </c>
      <c r="B6" s="1" t="s">
        <v>46</v>
      </c>
      <c r="C6" s="1" t="str">
        <f t="shared" si="0"/>
        <v>Georgia Schuttish</v>
      </c>
      <c r="D6" s="1" t="s">
        <v>14</v>
      </c>
      <c r="E6" s="1" t="s">
        <v>47</v>
      </c>
      <c r="F6" s="1" t="s">
        <v>16</v>
      </c>
      <c r="G6" s="1" t="s">
        <v>17</v>
      </c>
      <c r="H6" s="1">
        <v>94131</v>
      </c>
      <c r="I6" s="1" t="s">
        <v>14</v>
      </c>
      <c r="J6" s="15" t="s">
        <v>48</v>
      </c>
      <c r="K6" s="15" t="s">
        <v>21</v>
      </c>
      <c r="L6" s="1" t="s">
        <v>49</v>
      </c>
    </row>
    <row r="7" spans="1:12" s="1" customFormat="1" x14ac:dyDescent="0.2">
      <c r="A7" s="1" t="s">
        <v>50</v>
      </c>
      <c r="B7" s="1" t="s">
        <v>51</v>
      </c>
      <c r="C7" s="1" t="str">
        <f t="shared" si="0"/>
        <v>Russel Morine</v>
      </c>
      <c r="D7" s="1" t="s">
        <v>14</v>
      </c>
      <c r="E7" s="1" t="s">
        <v>52</v>
      </c>
      <c r="F7" s="1" t="s">
        <v>53</v>
      </c>
      <c r="G7" s="1" t="s">
        <v>17</v>
      </c>
      <c r="H7" s="1">
        <v>94134</v>
      </c>
      <c r="I7" s="1" t="s">
        <v>54</v>
      </c>
      <c r="J7" s="15" t="s">
        <v>55</v>
      </c>
      <c r="K7" s="15" t="s">
        <v>21</v>
      </c>
      <c r="L7" s="1" t="s">
        <v>56</v>
      </c>
    </row>
    <row r="8" spans="1:12" s="1" customFormat="1" ht="26.45" customHeight="1" x14ac:dyDescent="0.25">
      <c r="A8" s="1" t="s">
        <v>57</v>
      </c>
      <c r="B8" s="1" t="s">
        <v>58</v>
      </c>
      <c r="C8" s="1" t="str">
        <f t="shared" si="0"/>
        <v>Edward Stiel</v>
      </c>
      <c r="D8" s="1" t="s">
        <v>59</v>
      </c>
      <c r="E8" s="1" t="s">
        <v>60</v>
      </c>
      <c r="F8" s="1" t="s">
        <v>16</v>
      </c>
      <c r="G8" s="1" t="s">
        <v>17</v>
      </c>
      <c r="H8" s="1">
        <v>94110</v>
      </c>
      <c r="I8" s="1" t="s">
        <v>61</v>
      </c>
      <c r="J8" s="9" t="s">
        <v>62</v>
      </c>
      <c r="K8" s="9" t="s">
        <v>63</v>
      </c>
      <c r="L8" s="1" t="s">
        <v>64</v>
      </c>
    </row>
    <row r="9" spans="1:12" s="1" customFormat="1" ht="26.45" customHeight="1" x14ac:dyDescent="0.25">
      <c r="C9" s="1" t="s">
        <v>65</v>
      </c>
      <c r="D9" s="1" t="s">
        <v>66</v>
      </c>
      <c r="E9" s="1" t="s">
        <v>67</v>
      </c>
      <c r="F9" s="1" t="s">
        <v>16</v>
      </c>
      <c r="G9" s="1" t="s">
        <v>17</v>
      </c>
      <c r="H9" s="1">
        <v>94117</v>
      </c>
      <c r="I9" s="1" t="s">
        <v>68</v>
      </c>
      <c r="J9" s="43" t="s">
        <v>69</v>
      </c>
      <c r="K9" s="9" t="s">
        <v>63</v>
      </c>
      <c r="L9" s="1" t="s">
        <v>34</v>
      </c>
    </row>
    <row r="10" spans="1:12" s="1" customFormat="1" ht="39.6" customHeight="1" x14ac:dyDescent="0.25">
      <c r="A10" s="1" t="s">
        <v>70</v>
      </c>
      <c r="B10" s="1" t="s">
        <v>71</v>
      </c>
      <c r="C10" s="1" t="str">
        <f>A10&amp;" "&amp;B10</f>
        <v>Jeffrey Kwong</v>
      </c>
      <c r="D10" s="1" t="s">
        <v>72</v>
      </c>
      <c r="E10" s="1" t="s">
        <v>73</v>
      </c>
      <c r="F10" s="1" t="s">
        <v>16</v>
      </c>
      <c r="G10" s="1" t="s">
        <v>17</v>
      </c>
      <c r="H10" s="1">
        <v>94106</v>
      </c>
      <c r="I10" s="1" t="s">
        <v>74</v>
      </c>
      <c r="J10" s="9" t="s">
        <v>75</v>
      </c>
      <c r="K10" s="9" t="s">
        <v>21</v>
      </c>
      <c r="L10" s="1" t="s">
        <v>76</v>
      </c>
    </row>
    <row r="11" spans="1:12" s="1" customFormat="1" ht="26.45" customHeight="1" x14ac:dyDescent="0.2">
      <c r="A11" s="1" t="s">
        <v>77</v>
      </c>
      <c r="B11" s="1" t="s">
        <v>78</v>
      </c>
      <c r="C11" s="1" t="s">
        <v>79</v>
      </c>
      <c r="D11" s="1" t="s">
        <v>80</v>
      </c>
      <c r="E11" s="1" t="s">
        <v>81</v>
      </c>
      <c r="F11" s="1" t="s">
        <v>16</v>
      </c>
      <c r="G11" s="1" t="s">
        <v>17</v>
      </c>
      <c r="H11" s="1">
        <v>94110</v>
      </c>
      <c r="I11" s="22" t="s">
        <v>14</v>
      </c>
      <c r="J11" s="46" t="s">
        <v>82</v>
      </c>
      <c r="K11" s="16" t="s">
        <v>63</v>
      </c>
      <c r="L11" s="1" t="s">
        <v>64</v>
      </c>
    </row>
    <row r="12" spans="1:12" s="1" customFormat="1" ht="26.45" customHeight="1" x14ac:dyDescent="0.2">
      <c r="C12" s="1" t="s">
        <v>83</v>
      </c>
      <c r="D12" s="1" t="s">
        <v>80</v>
      </c>
      <c r="E12" s="1" t="s">
        <v>84</v>
      </c>
      <c r="F12" s="1" t="s">
        <v>16</v>
      </c>
      <c r="G12" s="1" t="s">
        <v>17</v>
      </c>
      <c r="H12" s="1">
        <v>94110</v>
      </c>
      <c r="I12" s="22" t="s">
        <v>14</v>
      </c>
      <c r="J12" s="46" t="s">
        <v>85</v>
      </c>
      <c r="K12" s="16" t="s">
        <v>63</v>
      </c>
      <c r="L12" s="1" t="s">
        <v>64</v>
      </c>
    </row>
    <row r="13" spans="1:12" s="1" customFormat="1" ht="26.45" customHeight="1" x14ac:dyDescent="0.2">
      <c r="A13" s="1" t="s">
        <v>86</v>
      </c>
      <c r="B13" s="1" t="s">
        <v>87</v>
      </c>
      <c r="C13" s="1" t="str">
        <f t="shared" ref="C13:C19" si="1">A13&amp;" "&amp;B13</f>
        <v>ASNA Board</v>
      </c>
      <c r="D13" s="1" t="s">
        <v>88</v>
      </c>
      <c r="E13" s="1" t="s">
        <v>89</v>
      </c>
      <c r="F13" s="1" t="s">
        <v>16</v>
      </c>
      <c r="G13" s="1" t="s">
        <v>17</v>
      </c>
      <c r="H13" s="1">
        <v>94117</v>
      </c>
      <c r="I13" s="1" t="s">
        <v>90</v>
      </c>
      <c r="J13" s="17" t="s">
        <v>91</v>
      </c>
      <c r="K13" s="15" t="s">
        <v>63</v>
      </c>
      <c r="L13" s="1" t="s">
        <v>28</v>
      </c>
    </row>
    <row r="14" spans="1:12" s="1" customFormat="1" ht="52.9" customHeight="1" x14ac:dyDescent="0.2">
      <c r="A14" s="1" t="s">
        <v>92</v>
      </c>
      <c r="B14" s="1" t="s">
        <v>93</v>
      </c>
      <c r="C14" s="1" t="str">
        <f t="shared" si="1"/>
        <v>Michael Nulty</v>
      </c>
      <c r="D14" s="1" t="s">
        <v>94</v>
      </c>
      <c r="E14" s="1" t="s">
        <v>95</v>
      </c>
      <c r="F14" s="1" t="s">
        <v>16</v>
      </c>
      <c r="G14" s="1" t="s">
        <v>17</v>
      </c>
      <c r="H14" s="1">
        <v>94142</v>
      </c>
      <c r="I14" s="1" t="s">
        <v>96</v>
      </c>
      <c r="J14" s="15" t="s">
        <v>97</v>
      </c>
      <c r="K14" s="15" t="s">
        <v>21</v>
      </c>
      <c r="L14" s="1" t="s">
        <v>98</v>
      </c>
    </row>
    <row r="15" spans="1:12" s="1" customFormat="1" x14ac:dyDescent="0.2">
      <c r="A15" s="1" t="s">
        <v>99</v>
      </c>
      <c r="B15" s="1" t="s">
        <v>100</v>
      </c>
      <c r="C15" s="1" t="str">
        <f t="shared" si="1"/>
        <v>Laura Magnani</v>
      </c>
      <c r="D15" s="1" t="s">
        <v>101</v>
      </c>
      <c r="E15" s="1" t="s">
        <v>102</v>
      </c>
      <c r="F15" s="1" t="s">
        <v>16</v>
      </c>
      <c r="G15" s="1" t="s">
        <v>17</v>
      </c>
      <c r="H15" s="1" t="s">
        <v>103</v>
      </c>
      <c r="I15" s="1" t="s">
        <v>104</v>
      </c>
      <c r="J15" s="17" t="s">
        <v>105</v>
      </c>
      <c r="K15" s="17" t="s">
        <v>21</v>
      </c>
      <c r="L15" s="1" t="s">
        <v>106</v>
      </c>
    </row>
    <row r="16" spans="1:12" s="1" customFormat="1" x14ac:dyDescent="0.25">
      <c r="A16" s="1" t="s">
        <v>107</v>
      </c>
      <c r="B16" s="1" t="s">
        <v>108</v>
      </c>
      <c r="C16" s="1" t="str">
        <f t="shared" si="1"/>
        <v>Linda Burton</v>
      </c>
      <c r="D16" s="1" t="s">
        <v>109</v>
      </c>
      <c r="E16" s="1" t="s">
        <v>110</v>
      </c>
      <c r="F16" s="1" t="s">
        <v>16</v>
      </c>
      <c r="G16" s="1" t="s">
        <v>17</v>
      </c>
      <c r="H16" s="1" t="s">
        <v>111</v>
      </c>
      <c r="I16" s="1" t="s">
        <v>112</v>
      </c>
      <c r="K16" s="1" t="s">
        <v>21</v>
      </c>
      <c r="L16" s="1" t="s">
        <v>56</v>
      </c>
    </row>
    <row r="17" spans="1:13" s="1" customFormat="1" x14ac:dyDescent="0.2">
      <c r="A17" s="1" t="s">
        <v>113</v>
      </c>
      <c r="B17" s="1" t="s">
        <v>114</v>
      </c>
      <c r="C17" s="1" t="str">
        <f t="shared" si="1"/>
        <v>Al Sodini</v>
      </c>
      <c r="D17" s="1" t="s">
        <v>115</v>
      </c>
      <c r="E17" s="1" t="s">
        <v>116</v>
      </c>
      <c r="F17" s="1" t="s">
        <v>16</v>
      </c>
      <c r="G17" s="1" t="s">
        <v>17</v>
      </c>
      <c r="H17" s="1">
        <v>94115</v>
      </c>
      <c r="I17" s="1" t="s">
        <v>117</v>
      </c>
      <c r="J17" s="17" t="s">
        <v>118</v>
      </c>
      <c r="K17" s="17" t="s">
        <v>21</v>
      </c>
      <c r="L17" s="1" t="s">
        <v>28</v>
      </c>
    </row>
    <row r="18" spans="1:13" s="1" customFormat="1" ht="26.45" customHeight="1" x14ac:dyDescent="0.25">
      <c r="C18" s="1" t="str">
        <f t="shared" si="1"/>
        <v xml:space="preserve"> </v>
      </c>
      <c r="D18" s="1" t="s">
        <v>119</v>
      </c>
      <c r="E18" s="1" t="s">
        <v>120</v>
      </c>
      <c r="F18" s="1" t="s">
        <v>16</v>
      </c>
      <c r="G18" s="1" t="s">
        <v>17</v>
      </c>
      <c r="H18" s="1">
        <v>94134</v>
      </c>
      <c r="I18" s="1" t="s">
        <v>121</v>
      </c>
      <c r="J18" s="9" t="s">
        <v>122</v>
      </c>
      <c r="K18" s="9" t="s">
        <v>21</v>
      </c>
      <c r="L18" s="1" t="s">
        <v>123</v>
      </c>
    </row>
    <row r="19" spans="1:13" s="1" customFormat="1" ht="26.45" customHeight="1" x14ac:dyDescent="0.25">
      <c r="A19" s="1" t="s">
        <v>124</v>
      </c>
      <c r="B19" s="1" t="s">
        <v>125</v>
      </c>
      <c r="C19" s="1" t="str">
        <f t="shared" si="1"/>
        <v>Construction and Engineering</v>
      </c>
      <c r="D19" s="1" t="s">
        <v>126</v>
      </c>
      <c r="E19" s="1" t="s">
        <v>127</v>
      </c>
      <c r="F19" s="1" t="s">
        <v>128</v>
      </c>
      <c r="G19" s="1" t="s">
        <v>17</v>
      </c>
      <c r="H19" s="1">
        <v>94015</v>
      </c>
      <c r="J19" s="9"/>
      <c r="K19" s="9" t="s">
        <v>21</v>
      </c>
      <c r="L19" s="1" t="s">
        <v>22</v>
      </c>
    </row>
    <row r="20" spans="1:13" s="1" customFormat="1" x14ac:dyDescent="0.25">
      <c r="C20" s="1" t="s">
        <v>129</v>
      </c>
      <c r="D20" s="1" t="s">
        <v>130</v>
      </c>
      <c r="E20" s="1" t="s">
        <v>131</v>
      </c>
      <c r="F20" s="1" t="s">
        <v>16</v>
      </c>
      <c r="G20" s="1" t="s">
        <v>17</v>
      </c>
      <c r="H20" s="1">
        <v>94123</v>
      </c>
      <c r="I20" s="1" t="s">
        <v>132</v>
      </c>
      <c r="J20" s="49" t="s">
        <v>133</v>
      </c>
      <c r="K20" s="9" t="s">
        <v>63</v>
      </c>
      <c r="L20" s="1" t="s">
        <v>134</v>
      </c>
    </row>
    <row r="21" spans="1:13" s="1" customFormat="1" x14ac:dyDescent="0.2">
      <c r="A21" s="1" t="s">
        <v>87</v>
      </c>
      <c r="B21" s="1" t="s">
        <v>135</v>
      </c>
      <c r="C21" s="1" t="str">
        <f>A21&amp;" "&amp;B21</f>
        <v>Board of Directors</v>
      </c>
      <c r="D21" s="1" t="s">
        <v>136</v>
      </c>
      <c r="E21" s="1" t="s">
        <v>137</v>
      </c>
      <c r="F21" s="1" t="s">
        <v>16</v>
      </c>
      <c r="G21" s="1" t="s">
        <v>17</v>
      </c>
      <c r="H21" s="1" t="s">
        <v>138</v>
      </c>
      <c r="I21" s="1" t="s">
        <v>139</v>
      </c>
      <c r="J21" s="15" t="s">
        <v>140</v>
      </c>
      <c r="K21" s="16" t="s">
        <v>63</v>
      </c>
      <c r="L21" s="1" t="s">
        <v>141</v>
      </c>
    </row>
    <row r="22" spans="1:13" s="1" customFormat="1" x14ac:dyDescent="0.2">
      <c r="A22" s="1" t="s">
        <v>142</v>
      </c>
      <c r="B22" s="1" t="s">
        <v>143</v>
      </c>
      <c r="C22" s="1" t="str">
        <f>A22&amp;" "&amp;B22</f>
        <v>Yuka Ioroi</v>
      </c>
      <c r="D22" s="1" t="s">
        <v>144</v>
      </c>
      <c r="E22" s="1" t="s">
        <v>145</v>
      </c>
      <c r="F22" s="1" t="s">
        <v>16</v>
      </c>
      <c r="G22" s="1" t="s">
        <v>17</v>
      </c>
      <c r="H22" s="1">
        <v>94121</v>
      </c>
      <c r="I22" s="1" t="s">
        <v>146</v>
      </c>
      <c r="J22" s="15" t="s">
        <v>147</v>
      </c>
      <c r="K22" s="15" t="s">
        <v>21</v>
      </c>
      <c r="L22" s="1" t="s">
        <v>148</v>
      </c>
    </row>
    <row r="23" spans="1:13" s="1" customFormat="1" ht="26.45" customHeight="1" x14ac:dyDescent="0.2">
      <c r="A23" s="1" t="s">
        <v>149</v>
      </c>
      <c r="B23" s="1" t="s">
        <v>150</v>
      </c>
      <c r="C23" s="1" t="str">
        <f>A23&amp;" "&amp;B23</f>
        <v>Diana Taylor</v>
      </c>
      <c r="D23" s="1" t="s">
        <v>151</v>
      </c>
      <c r="E23" s="1" t="s">
        <v>152</v>
      </c>
      <c r="F23" s="1" t="s">
        <v>16</v>
      </c>
      <c r="G23" s="1" t="s">
        <v>17</v>
      </c>
      <c r="H23" s="1">
        <v>94126</v>
      </c>
      <c r="I23" s="1" t="s">
        <v>14</v>
      </c>
      <c r="J23" s="15" t="s">
        <v>153</v>
      </c>
      <c r="K23" s="15" t="s">
        <v>63</v>
      </c>
      <c r="L23" s="1" t="s">
        <v>154</v>
      </c>
    </row>
    <row r="24" spans="1:13" s="1" customFormat="1" x14ac:dyDescent="0.2">
      <c r="A24" s="1" t="s">
        <v>155</v>
      </c>
      <c r="B24" s="1" t="s">
        <v>156</v>
      </c>
      <c r="C24" s="1" t="str">
        <f>A24&amp;" "&amp;B24</f>
        <v>Daniel Dodt</v>
      </c>
      <c r="D24" s="1" t="s">
        <v>157</v>
      </c>
      <c r="E24" s="1" t="s">
        <v>158</v>
      </c>
      <c r="F24" s="1" t="s">
        <v>16</v>
      </c>
      <c r="G24" s="1" t="s">
        <v>17</v>
      </c>
      <c r="H24" s="1">
        <v>94124</v>
      </c>
      <c r="I24" s="1" t="s">
        <v>159</v>
      </c>
      <c r="J24" s="15" t="s">
        <v>160</v>
      </c>
      <c r="K24" s="15" t="s">
        <v>63</v>
      </c>
      <c r="L24" s="1" t="s">
        <v>56</v>
      </c>
    </row>
    <row r="25" spans="1:13" s="1" customFormat="1" ht="26.45" customHeight="1" x14ac:dyDescent="0.2">
      <c r="A25" s="1" t="s">
        <v>87</v>
      </c>
      <c r="B25" s="1" t="s">
        <v>161</v>
      </c>
      <c r="C25" s="1" t="str">
        <f>A25&amp;" "&amp;B25</f>
        <v>Board Secretary</v>
      </c>
      <c r="D25" s="1" t="s">
        <v>162</v>
      </c>
      <c r="J25" s="15" t="s">
        <v>163</v>
      </c>
      <c r="K25" s="17" t="s">
        <v>63</v>
      </c>
      <c r="L25" s="1" t="s">
        <v>56</v>
      </c>
      <c r="M25" s="25"/>
    </row>
    <row r="26" spans="1:13" s="1" customFormat="1" ht="26.45" customHeight="1" x14ac:dyDescent="0.2">
      <c r="A26" s="1" t="s">
        <v>164</v>
      </c>
      <c r="B26" s="1" t="s">
        <v>165</v>
      </c>
      <c r="D26" s="1" t="s">
        <v>166</v>
      </c>
      <c r="E26" s="1" t="s">
        <v>167</v>
      </c>
      <c r="F26" s="1" t="s">
        <v>16</v>
      </c>
      <c r="G26" s="1" t="s">
        <v>17</v>
      </c>
      <c r="H26" s="1">
        <v>94124</v>
      </c>
      <c r="J26" s="50" t="s">
        <v>168</v>
      </c>
      <c r="K26" s="15" t="s">
        <v>63</v>
      </c>
      <c r="L26" s="1" t="s">
        <v>56</v>
      </c>
    </row>
    <row r="27" spans="1:13" s="1" customFormat="1" x14ac:dyDescent="0.2">
      <c r="A27" s="1" t="s">
        <v>169</v>
      </c>
      <c r="B27" s="1" t="s">
        <v>170</v>
      </c>
      <c r="C27" s="1" t="str">
        <f>A27&amp;" "&amp;B27</f>
        <v>Sophie Constantinou</v>
      </c>
      <c r="D27" s="1" t="s">
        <v>171</v>
      </c>
      <c r="E27" s="1" t="s">
        <v>172</v>
      </c>
      <c r="F27" s="1" t="s">
        <v>16</v>
      </c>
      <c r="G27" s="1" t="s">
        <v>17</v>
      </c>
      <c r="H27" s="1">
        <v>94110</v>
      </c>
      <c r="I27" s="1" t="s">
        <v>173</v>
      </c>
      <c r="J27" s="15" t="s">
        <v>174</v>
      </c>
      <c r="K27" s="15" t="s">
        <v>63</v>
      </c>
      <c r="L27" s="1" t="s">
        <v>175</v>
      </c>
    </row>
    <row r="28" spans="1:13" s="1" customFormat="1" ht="26.45" customHeight="1" x14ac:dyDescent="0.2">
      <c r="A28" s="1" t="s">
        <v>176</v>
      </c>
      <c r="B28" s="1" t="s">
        <v>177</v>
      </c>
      <c r="C28" s="1" t="str">
        <f>A28&amp;" "&amp;B28</f>
        <v>Wendy Cowles</v>
      </c>
      <c r="D28" s="1" t="s">
        <v>178</v>
      </c>
      <c r="E28" s="1" t="s">
        <v>179</v>
      </c>
      <c r="F28" s="1" t="s">
        <v>16</v>
      </c>
      <c r="G28" s="1" t="s">
        <v>17</v>
      </c>
      <c r="H28" s="1">
        <v>94110</v>
      </c>
      <c r="J28" s="15" t="s">
        <v>180</v>
      </c>
      <c r="K28" s="16" t="s">
        <v>63</v>
      </c>
      <c r="L28" s="1" t="s">
        <v>181</v>
      </c>
    </row>
    <row r="29" spans="1:13" s="1" customFormat="1" x14ac:dyDescent="0.25">
      <c r="A29" s="1" t="s">
        <v>182</v>
      </c>
      <c r="B29" s="1" t="s">
        <v>183</v>
      </c>
      <c r="C29" s="1" t="str">
        <f>A29&amp;" "&amp;B29</f>
        <v>Rachel Ebora</v>
      </c>
      <c r="D29" s="1" t="s">
        <v>184</v>
      </c>
      <c r="E29" s="1" t="s">
        <v>185</v>
      </c>
      <c r="F29" s="1" t="s">
        <v>16</v>
      </c>
      <c r="G29" s="1" t="s">
        <v>17</v>
      </c>
      <c r="H29" s="1" t="s">
        <v>186</v>
      </c>
      <c r="K29" s="1" t="s">
        <v>21</v>
      </c>
      <c r="L29" s="1" t="s">
        <v>181</v>
      </c>
    </row>
    <row r="30" spans="1:13" s="1" customFormat="1" x14ac:dyDescent="0.2">
      <c r="A30" s="1" t="s">
        <v>187</v>
      </c>
      <c r="B30" s="1" t="s">
        <v>188</v>
      </c>
      <c r="C30" s="1" t="s">
        <v>189</v>
      </c>
      <c r="D30" s="1" t="s">
        <v>190</v>
      </c>
      <c r="E30" s="1" t="s">
        <v>191</v>
      </c>
      <c r="F30" s="1" t="s">
        <v>16</v>
      </c>
      <c r="G30" s="1" t="s">
        <v>17</v>
      </c>
      <c r="H30" s="1">
        <v>94110</v>
      </c>
      <c r="I30" s="42" t="s">
        <v>192</v>
      </c>
      <c r="J30" s="53" t="s">
        <v>193</v>
      </c>
      <c r="K30" s="15" t="s">
        <v>63</v>
      </c>
      <c r="L30" s="1" t="s">
        <v>181</v>
      </c>
    </row>
    <row r="31" spans="1:13" s="1" customFormat="1" x14ac:dyDescent="0.2">
      <c r="A31" s="1" t="s">
        <v>194</v>
      </c>
      <c r="B31" s="1" t="s">
        <v>195</v>
      </c>
      <c r="C31" s="1" t="str">
        <f>A31&amp;" "&amp;B31</f>
        <v>Andre Rothblatt</v>
      </c>
      <c r="D31" s="1" t="s">
        <v>196</v>
      </c>
      <c r="E31" s="1" t="s">
        <v>197</v>
      </c>
      <c r="F31" s="1" t="s">
        <v>16</v>
      </c>
      <c r="G31" s="1" t="s">
        <v>17</v>
      </c>
      <c r="H31" s="1" t="s">
        <v>186</v>
      </c>
      <c r="I31" s="1" t="s">
        <v>198</v>
      </c>
      <c r="J31" s="17" t="s">
        <v>199</v>
      </c>
      <c r="K31" s="17" t="s">
        <v>21</v>
      </c>
      <c r="L31" s="1" t="s">
        <v>181</v>
      </c>
    </row>
    <row r="32" spans="1:13" s="1" customFormat="1" ht="26.45" customHeight="1" x14ac:dyDescent="0.2">
      <c r="A32" s="1" t="s">
        <v>200</v>
      </c>
      <c r="B32" s="1" t="s">
        <v>201</v>
      </c>
      <c r="C32" s="1" t="str">
        <f>A32&amp;" "&amp;B32</f>
        <v>Kathy Angus</v>
      </c>
      <c r="D32" s="1" t="s">
        <v>202</v>
      </c>
      <c r="E32" s="1" t="s">
        <v>203</v>
      </c>
      <c r="F32" s="1" t="s">
        <v>16</v>
      </c>
      <c r="G32" s="1" t="s">
        <v>17</v>
      </c>
      <c r="H32" s="1" t="s">
        <v>186</v>
      </c>
      <c r="I32" s="1" t="s">
        <v>204</v>
      </c>
      <c r="J32" s="17" t="s">
        <v>205</v>
      </c>
      <c r="K32" s="17" t="s">
        <v>63</v>
      </c>
      <c r="L32" s="1" t="s">
        <v>181</v>
      </c>
    </row>
    <row r="33" spans="1:12" s="1" customFormat="1" ht="39.6" customHeight="1" x14ac:dyDescent="0.2">
      <c r="C33" s="1" t="s">
        <v>206</v>
      </c>
      <c r="D33" s="1" t="s">
        <v>207</v>
      </c>
      <c r="E33" s="1" t="s">
        <v>208</v>
      </c>
      <c r="F33" s="1" t="s">
        <v>16</v>
      </c>
      <c r="G33" s="1" t="s">
        <v>17</v>
      </c>
      <c r="H33" s="1">
        <v>94116</v>
      </c>
      <c r="I33" s="1" t="s">
        <v>209</v>
      </c>
      <c r="J33" s="15" t="s">
        <v>210</v>
      </c>
      <c r="K33" s="17" t="s">
        <v>63</v>
      </c>
      <c r="L33" s="1" t="s">
        <v>211</v>
      </c>
    </row>
    <row r="34" spans="1:12" s="1" customFormat="1" ht="52.9" customHeight="1" x14ac:dyDescent="0.2">
      <c r="A34" s="1" t="s">
        <v>212</v>
      </c>
      <c r="B34" s="1" t="s">
        <v>213</v>
      </c>
      <c r="C34" s="1" t="str">
        <f>A34&amp;" "&amp;B34</f>
        <v>Shamann Walton</v>
      </c>
      <c r="D34" s="1" t="s">
        <v>214</v>
      </c>
      <c r="E34" s="1" t="s">
        <v>215</v>
      </c>
      <c r="F34" s="1" t="s">
        <v>16</v>
      </c>
      <c r="G34" s="1" t="s">
        <v>17</v>
      </c>
      <c r="H34" s="1" t="s">
        <v>216</v>
      </c>
      <c r="I34" s="1" t="s">
        <v>14</v>
      </c>
      <c r="J34" s="15" t="s">
        <v>217</v>
      </c>
      <c r="K34" s="15" t="s">
        <v>218</v>
      </c>
      <c r="L34" s="1" t="s">
        <v>219</v>
      </c>
    </row>
    <row r="35" spans="1:12" s="1" customFormat="1" ht="39.6" customHeight="1" x14ac:dyDescent="0.2">
      <c r="A35" s="1" t="s">
        <v>220</v>
      </c>
      <c r="B35" s="1" t="s">
        <v>221</v>
      </c>
      <c r="C35" s="1" t="s">
        <v>222</v>
      </c>
      <c r="D35" s="1" t="s">
        <v>214</v>
      </c>
      <c r="E35" s="1" t="s">
        <v>215</v>
      </c>
      <c r="F35" s="1" t="s">
        <v>16</v>
      </c>
      <c r="G35" s="1" t="s">
        <v>17</v>
      </c>
      <c r="H35" s="1" t="s">
        <v>216</v>
      </c>
      <c r="I35" s="1" t="s">
        <v>14</v>
      </c>
      <c r="J35" s="17" t="s">
        <v>223</v>
      </c>
      <c r="K35" s="1" t="s">
        <v>218</v>
      </c>
      <c r="L35" s="1" t="s">
        <v>224</v>
      </c>
    </row>
    <row r="36" spans="1:12" s="1" customFormat="1" ht="66" customHeight="1" x14ac:dyDescent="0.2">
      <c r="A36" s="1" t="s">
        <v>12</v>
      </c>
      <c r="B36" s="1" t="s">
        <v>13</v>
      </c>
      <c r="C36" s="1" t="s">
        <v>225</v>
      </c>
      <c r="D36" s="1" t="s">
        <v>214</v>
      </c>
      <c r="E36" s="1" t="s">
        <v>215</v>
      </c>
      <c r="F36" s="1" t="s">
        <v>16</v>
      </c>
      <c r="G36" s="1" t="s">
        <v>17</v>
      </c>
      <c r="H36" s="1" t="s">
        <v>216</v>
      </c>
      <c r="I36" s="1" t="s">
        <v>14</v>
      </c>
      <c r="J36" s="1" t="s">
        <v>226</v>
      </c>
      <c r="K36" s="17" t="s">
        <v>218</v>
      </c>
      <c r="L36" s="1" t="s">
        <v>227</v>
      </c>
    </row>
    <row r="37" spans="1:12" s="1" customFormat="1" ht="26.45" customHeight="1" x14ac:dyDescent="0.25">
      <c r="A37" s="1" t="s">
        <v>228</v>
      </c>
      <c r="B37" s="1" t="s">
        <v>229</v>
      </c>
      <c r="C37" s="1" t="s">
        <v>230</v>
      </c>
      <c r="D37" s="1" t="s">
        <v>214</v>
      </c>
      <c r="E37" s="1" t="s">
        <v>215</v>
      </c>
      <c r="F37" s="1" t="s">
        <v>16</v>
      </c>
      <c r="G37" s="1" t="s">
        <v>17</v>
      </c>
      <c r="H37" s="1" t="s">
        <v>216</v>
      </c>
      <c r="I37" s="1" t="s">
        <v>14</v>
      </c>
      <c r="J37" s="9" t="s">
        <v>231</v>
      </c>
      <c r="K37" s="9" t="s">
        <v>218</v>
      </c>
      <c r="L37" s="1" t="s">
        <v>232</v>
      </c>
    </row>
    <row r="38" spans="1:12" s="1" customFormat="1" ht="66" customHeight="1" x14ac:dyDescent="0.2">
      <c r="A38" s="1" t="s">
        <v>233</v>
      </c>
      <c r="B38" s="1" t="s">
        <v>234</v>
      </c>
      <c r="C38" s="1" t="str">
        <f>A38&amp;" "&amp;B38</f>
        <v>Rafael Mandelman</v>
      </c>
      <c r="D38" s="1" t="s">
        <v>214</v>
      </c>
      <c r="E38" s="1" t="s">
        <v>215</v>
      </c>
      <c r="F38" s="1" t="s">
        <v>16</v>
      </c>
      <c r="G38" s="1" t="s">
        <v>17</v>
      </c>
      <c r="H38" s="1" t="s">
        <v>216</v>
      </c>
      <c r="I38" s="1" t="s">
        <v>14</v>
      </c>
      <c r="J38" s="17" t="s">
        <v>235</v>
      </c>
      <c r="K38" s="17" t="s">
        <v>218</v>
      </c>
      <c r="L38" s="1" t="s">
        <v>236</v>
      </c>
    </row>
    <row r="39" spans="1:12" s="1" customFormat="1" ht="79.150000000000006" customHeight="1" x14ac:dyDescent="0.2">
      <c r="A39" s="1" t="s">
        <v>237</v>
      </c>
      <c r="B39" s="1" t="s">
        <v>238</v>
      </c>
      <c r="C39" s="1" t="str">
        <f>A39&amp;" "&amp;B39</f>
        <v xml:space="preserve">Connie Chan </v>
      </c>
      <c r="D39" s="1" t="s">
        <v>214</v>
      </c>
      <c r="E39" s="1" t="s">
        <v>215</v>
      </c>
      <c r="F39" s="1" t="s">
        <v>16</v>
      </c>
      <c r="G39" s="1" t="s">
        <v>17</v>
      </c>
      <c r="H39" s="1" t="s">
        <v>216</v>
      </c>
      <c r="I39" s="1" t="s">
        <v>14</v>
      </c>
      <c r="J39" s="15" t="s">
        <v>239</v>
      </c>
      <c r="K39" s="15" t="s">
        <v>218</v>
      </c>
      <c r="L39" s="1" t="s">
        <v>240</v>
      </c>
    </row>
    <row r="40" spans="1:12" s="1" customFormat="1" ht="79.150000000000006" customHeight="1" x14ac:dyDescent="0.25">
      <c r="A40" s="1" t="s">
        <v>241</v>
      </c>
      <c r="B40" s="1" t="s">
        <v>242</v>
      </c>
      <c r="C40" s="1" t="str">
        <f>A40&amp;" "&amp;B40</f>
        <v>Myrna Melgar</v>
      </c>
      <c r="D40" s="1" t="s">
        <v>214</v>
      </c>
      <c r="E40" s="1" t="s">
        <v>215</v>
      </c>
      <c r="F40" s="1" t="s">
        <v>16</v>
      </c>
      <c r="G40" s="1" t="s">
        <v>17</v>
      </c>
      <c r="H40" s="1" t="s">
        <v>216</v>
      </c>
      <c r="I40" s="1" t="s">
        <v>14</v>
      </c>
      <c r="J40" s="1" t="s">
        <v>243</v>
      </c>
      <c r="K40" s="1" t="s">
        <v>218</v>
      </c>
      <c r="L40" s="1" t="s">
        <v>244</v>
      </c>
    </row>
    <row r="41" spans="1:12" s="1" customFormat="1" ht="57" customHeight="1" x14ac:dyDescent="0.2">
      <c r="A41" s="1" t="s">
        <v>245</v>
      </c>
      <c r="B41" s="1" t="s">
        <v>246</v>
      </c>
      <c r="C41" s="1" t="s">
        <v>247</v>
      </c>
      <c r="D41" s="1" t="s">
        <v>214</v>
      </c>
      <c r="E41" s="1" t="s">
        <v>215</v>
      </c>
      <c r="F41" s="1" t="s">
        <v>16</v>
      </c>
      <c r="G41" s="1" t="s">
        <v>17</v>
      </c>
      <c r="H41" s="1" t="s">
        <v>216</v>
      </c>
      <c r="I41" s="1" t="s">
        <v>14</v>
      </c>
      <c r="J41" s="35" t="s">
        <v>248</v>
      </c>
      <c r="K41" s="1" t="s">
        <v>218</v>
      </c>
      <c r="L41" s="1" t="s">
        <v>249</v>
      </c>
    </row>
    <row r="42" spans="1:12" s="1" customFormat="1" ht="66" customHeight="1" x14ac:dyDescent="0.2">
      <c r="A42" s="1" t="s">
        <v>250</v>
      </c>
      <c r="B42" s="1" t="s">
        <v>251</v>
      </c>
      <c r="C42" s="1" t="s">
        <v>252</v>
      </c>
      <c r="D42" s="1" t="s">
        <v>214</v>
      </c>
      <c r="E42" s="1" t="s">
        <v>215</v>
      </c>
      <c r="F42" s="1" t="s">
        <v>16</v>
      </c>
      <c r="G42" s="1" t="s">
        <v>17</v>
      </c>
      <c r="H42" s="1" t="s">
        <v>216</v>
      </c>
      <c r="I42" s="1" t="s">
        <v>14</v>
      </c>
      <c r="J42" s="35" t="s">
        <v>253</v>
      </c>
      <c r="K42" s="9" t="s">
        <v>218</v>
      </c>
      <c r="L42" s="1" t="s">
        <v>254</v>
      </c>
    </row>
    <row r="43" spans="1:12" s="1" customFormat="1" ht="52.9" customHeight="1" x14ac:dyDescent="0.2">
      <c r="A43" s="1" t="s">
        <v>255</v>
      </c>
      <c r="B43" s="1" t="s">
        <v>256</v>
      </c>
      <c r="C43" s="1" t="s">
        <v>257</v>
      </c>
      <c r="D43" s="1" t="s">
        <v>258</v>
      </c>
      <c r="E43" s="1" t="s">
        <v>215</v>
      </c>
      <c r="F43" s="1" t="s">
        <v>16</v>
      </c>
      <c r="G43" s="1" t="s">
        <v>17</v>
      </c>
      <c r="H43" s="1" t="s">
        <v>216</v>
      </c>
      <c r="I43" s="1" t="s">
        <v>14</v>
      </c>
      <c r="J43" s="15" t="s">
        <v>259</v>
      </c>
      <c r="K43" s="15" t="s">
        <v>218</v>
      </c>
      <c r="L43" s="1" t="s">
        <v>260</v>
      </c>
    </row>
    <row r="44" spans="1:12" s="1" customFormat="1" ht="42.75" customHeight="1" x14ac:dyDescent="0.2">
      <c r="C44" s="1" t="s">
        <v>261</v>
      </c>
      <c r="D44" s="1" t="s">
        <v>214</v>
      </c>
      <c r="E44" s="1" t="s">
        <v>215</v>
      </c>
      <c r="F44" s="1" t="s">
        <v>16</v>
      </c>
      <c r="G44" s="1" t="s">
        <v>17</v>
      </c>
      <c r="H44" s="1" t="s">
        <v>216</v>
      </c>
      <c r="I44" s="1" t="s">
        <v>14</v>
      </c>
      <c r="J44" s="15" t="s">
        <v>262</v>
      </c>
      <c r="K44" s="15" t="s">
        <v>218</v>
      </c>
      <c r="L44" s="1" t="s">
        <v>263</v>
      </c>
    </row>
    <row r="45" spans="1:12" s="1" customFormat="1" ht="92.45" customHeight="1" x14ac:dyDescent="0.2">
      <c r="C45" s="1" t="s">
        <v>264</v>
      </c>
      <c r="D45" s="1" t="s">
        <v>265</v>
      </c>
      <c r="E45" s="1" t="s">
        <v>266</v>
      </c>
      <c r="F45" s="1" t="s">
        <v>16</v>
      </c>
      <c r="G45" s="1" t="s">
        <v>17</v>
      </c>
      <c r="H45" s="1">
        <v>94134</v>
      </c>
      <c r="I45" s="1" t="s">
        <v>267</v>
      </c>
      <c r="J45" s="15" t="s">
        <v>268</v>
      </c>
      <c r="K45" s="15" t="s">
        <v>63</v>
      </c>
      <c r="L45" s="1" t="s">
        <v>269</v>
      </c>
    </row>
    <row r="46" spans="1:12" s="1" customFormat="1" x14ac:dyDescent="0.2">
      <c r="C46" s="1" t="s">
        <v>270</v>
      </c>
      <c r="D46" s="1" t="s">
        <v>271</v>
      </c>
      <c r="E46" s="1" t="s">
        <v>272</v>
      </c>
      <c r="F46" s="1" t="s">
        <v>16</v>
      </c>
      <c r="G46" s="1" t="s">
        <v>17</v>
      </c>
      <c r="H46" s="1">
        <v>94107</v>
      </c>
      <c r="I46" s="1" t="s">
        <v>273</v>
      </c>
      <c r="J46" s="15" t="s">
        <v>274</v>
      </c>
      <c r="K46" s="15" t="s">
        <v>63</v>
      </c>
      <c r="L46" s="1" t="s">
        <v>106</v>
      </c>
    </row>
    <row r="47" spans="1:12" s="1" customFormat="1" ht="27.75" customHeight="1" x14ac:dyDescent="0.2">
      <c r="C47" s="1" t="s">
        <v>275</v>
      </c>
      <c r="D47" s="1" t="s">
        <v>276</v>
      </c>
      <c r="E47" s="1" t="s">
        <v>277</v>
      </c>
      <c r="F47" s="1" t="s">
        <v>16</v>
      </c>
      <c r="G47" s="1" t="s">
        <v>17</v>
      </c>
      <c r="H47" s="1">
        <v>94117</v>
      </c>
      <c r="I47" s="1" t="s">
        <v>278</v>
      </c>
      <c r="J47" s="51" t="s">
        <v>279</v>
      </c>
      <c r="K47" s="15" t="s">
        <v>63</v>
      </c>
      <c r="L47" s="1" t="s">
        <v>280</v>
      </c>
    </row>
    <row r="48" spans="1:12" s="1" customFormat="1" ht="26.45" customHeight="1" x14ac:dyDescent="0.2">
      <c r="A48" s="1" t="s">
        <v>281</v>
      </c>
      <c r="B48" s="1" t="s">
        <v>282</v>
      </c>
      <c r="C48" s="1" t="str">
        <f>A48&amp;" "&amp;B48</f>
        <v xml:space="preserve">John Hou </v>
      </c>
      <c r="D48" s="1" t="s">
        <v>283</v>
      </c>
      <c r="E48" s="1" t="s">
        <v>284</v>
      </c>
      <c r="F48" s="1" t="s">
        <v>16</v>
      </c>
      <c r="G48" s="1" t="s">
        <v>17</v>
      </c>
      <c r="H48" s="1">
        <v>94118</v>
      </c>
      <c r="I48" s="1" t="s">
        <v>285</v>
      </c>
      <c r="J48" s="15" t="s">
        <v>286</v>
      </c>
      <c r="K48" s="15" t="s">
        <v>21</v>
      </c>
      <c r="L48" s="1" t="s">
        <v>287</v>
      </c>
    </row>
    <row r="49" spans="1:12" s="1" customFormat="1" ht="26.45" customHeight="1" x14ac:dyDescent="0.2">
      <c r="A49" s="1" t="s">
        <v>288</v>
      </c>
      <c r="B49" s="1" t="s">
        <v>289</v>
      </c>
      <c r="C49" s="1" t="str">
        <f>A49&amp;" "&amp;B49</f>
        <v>Alex Thompson</v>
      </c>
      <c r="D49" s="1" t="s">
        <v>290</v>
      </c>
      <c r="E49" s="1" t="s">
        <v>291</v>
      </c>
      <c r="F49" s="1" t="s">
        <v>16</v>
      </c>
      <c r="G49" s="1" t="s">
        <v>17</v>
      </c>
      <c r="H49" s="1">
        <v>94118</v>
      </c>
      <c r="I49" s="1" t="s">
        <v>292</v>
      </c>
      <c r="J49" s="15" t="s">
        <v>293</v>
      </c>
      <c r="K49" s="15" t="s">
        <v>63</v>
      </c>
      <c r="L49" s="1" t="s">
        <v>294</v>
      </c>
    </row>
    <row r="50" spans="1:12" s="1" customFormat="1" x14ac:dyDescent="0.25">
      <c r="A50" s="1" t="s">
        <v>295</v>
      </c>
      <c r="B50" s="1" t="s">
        <v>296</v>
      </c>
      <c r="C50" s="1" t="str">
        <f>A50&amp;" "&amp;B50</f>
        <v>Erick Arguello</v>
      </c>
      <c r="D50" s="1" t="s">
        <v>297</v>
      </c>
      <c r="E50" s="1" t="s">
        <v>298</v>
      </c>
      <c r="F50" s="1" t="s">
        <v>16</v>
      </c>
      <c r="G50" s="1" t="s">
        <v>17</v>
      </c>
      <c r="H50" s="1" t="s">
        <v>186</v>
      </c>
      <c r="I50" s="1" t="s">
        <v>299</v>
      </c>
      <c r="J50" s="1" t="s">
        <v>300</v>
      </c>
      <c r="K50" s="1" t="s">
        <v>21</v>
      </c>
      <c r="L50" s="1" t="s">
        <v>64</v>
      </c>
    </row>
    <row r="51" spans="1:12" s="1" customFormat="1" x14ac:dyDescent="0.25">
      <c r="A51" s="1" t="s">
        <v>301</v>
      </c>
      <c r="B51" s="1" t="s">
        <v>302</v>
      </c>
      <c r="C51" s="1" t="str">
        <f>A51&amp;" "&amp;B51</f>
        <v>Leonard Basoco</v>
      </c>
      <c r="D51" s="1" t="s">
        <v>303</v>
      </c>
      <c r="E51" s="1" t="s">
        <v>304</v>
      </c>
      <c r="F51" s="1" t="s">
        <v>16</v>
      </c>
      <c r="G51" s="1" t="s">
        <v>17</v>
      </c>
      <c r="H51" s="1" t="s">
        <v>305</v>
      </c>
      <c r="I51" s="1" t="s">
        <v>306</v>
      </c>
      <c r="J51" s="1" t="s">
        <v>307</v>
      </c>
      <c r="K51" s="1" t="s">
        <v>21</v>
      </c>
      <c r="L51" s="1" t="s">
        <v>22</v>
      </c>
    </row>
    <row r="52" spans="1:12" s="1" customFormat="1" x14ac:dyDescent="0.25">
      <c r="A52" s="1" t="s">
        <v>308</v>
      </c>
      <c r="B52" s="1" t="s">
        <v>309</v>
      </c>
      <c r="C52" s="1" t="str">
        <f>A52&amp;" "&amp;B52</f>
        <v>Joe Curtin</v>
      </c>
      <c r="D52" s="1" t="s">
        <v>310</v>
      </c>
      <c r="E52" s="1" t="s">
        <v>311</v>
      </c>
      <c r="F52" s="1" t="s">
        <v>16</v>
      </c>
      <c r="G52" s="1" t="s">
        <v>17</v>
      </c>
      <c r="H52" s="1" t="s">
        <v>312</v>
      </c>
      <c r="I52" s="1" t="s">
        <v>313</v>
      </c>
      <c r="K52" s="1" t="s">
        <v>21</v>
      </c>
      <c r="L52" s="1" t="s">
        <v>280</v>
      </c>
    </row>
    <row r="53" spans="1:12" s="1" customFormat="1" ht="52.9" customHeight="1" x14ac:dyDescent="0.25">
      <c r="C53" s="1" t="s">
        <v>314</v>
      </c>
      <c r="D53" s="1" t="s">
        <v>315</v>
      </c>
      <c r="E53" s="1" t="s">
        <v>316</v>
      </c>
      <c r="F53" s="1" t="s">
        <v>16</v>
      </c>
      <c r="G53" s="1" t="s">
        <v>17</v>
      </c>
      <c r="H53" s="1">
        <v>94102</v>
      </c>
      <c r="I53" s="1" t="s">
        <v>317</v>
      </c>
      <c r="J53" s="9" t="s">
        <v>318</v>
      </c>
      <c r="K53" s="1" t="s">
        <v>63</v>
      </c>
      <c r="L53" s="1" t="s">
        <v>319</v>
      </c>
    </row>
    <row r="54" spans="1:12" s="1" customFormat="1" x14ac:dyDescent="0.25">
      <c r="A54" s="1" t="s">
        <v>320</v>
      </c>
      <c r="B54" s="1" t="s">
        <v>321</v>
      </c>
      <c r="C54" s="1" t="str">
        <f t="shared" ref="C54:C70" si="2">A54&amp;" "&amp;B54</f>
        <v>Nikolas Blanchet</v>
      </c>
      <c r="D54" s="1" t="s">
        <v>322</v>
      </c>
      <c r="E54" s="1" t="s">
        <v>323</v>
      </c>
      <c r="F54" s="1" t="s">
        <v>16</v>
      </c>
      <c r="G54" s="1" t="s">
        <v>17</v>
      </c>
      <c r="H54" s="1" t="s">
        <v>312</v>
      </c>
      <c r="I54" s="1" t="s">
        <v>324</v>
      </c>
      <c r="J54" s="9" t="s">
        <v>325</v>
      </c>
      <c r="K54" s="1" t="s">
        <v>63</v>
      </c>
      <c r="L54" s="1" t="s">
        <v>280</v>
      </c>
    </row>
    <row r="55" spans="1:12" s="1" customFormat="1" ht="26.45" customHeight="1" x14ac:dyDescent="0.25">
      <c r="A55" s="1" t="s">
        <v>326</v>
      </c>
      <c r="B55" s="1" t="s">
        <v>327</v>
      </c>
      <c r="C55" s="1" t="str">
        <f t="shared" si="2"/>
        <v>Andrea Aiello</v>
      </c>
      <c r="D55" s="1" t="s">
        <v>328</v>
      </c>
      <c r="E55" s="1" t="s">
        <v>329</v>
      </c>
      <c r="F55" s="1" t="s">
        <v>16</v>
      </c>
      <c r="G55" s="1" t="s">
        <v>17</v>
      </c>
      <c r="H55" s="1" t="s">
        <v>312</v>
      </c>
      <c r="I55" s="1" t="s">
        <v>330</v>
      </c>
      <c r="J55" s="1" t="s">
        <v>331</v>
      </c>
      <c r="K55" s="1" t="s">
        <v>63</v>
      </c>
      <c r="L55" s="1" t="s">
        <v>332</v>
      </c>
    </row>
    <row r="56" spans="1:12" s="1" customFormat="1" ht="26.45" customHeight="1" x14ac:dyDescent="0.2">
      <c r="A56" s="1" t="s">
        <v>333</v>
      </c>
      <c r="B56" s="1" t="s">
        <v>334</v>
      </c>
      <c r="C56" s="1" t="str">
        <f t="shared" si="2"/>
        <v>Marlayne Morgan</v>
      </c>
      <c r="D56" s="1" t="s">
        <v>335</v>
      </c>
      <c r="E56" s="1" t="s">
        <v>336</v>
      </c>
      <c r="F56" s="1" t="s">
        <v>16</v>
      </c>
      <c r="G56" s="1" t="s">
        <v>17</v>
      </c>
      <c r="H56" s="1">
        <v>94109</v>
      </c>
      <c r="I56" s="1" t="s">
        <v>337</v>
      </c>
      <c r="J56" s="17" t="s">
        <v>338</v>
      </c>
      <c r="K56" s="17" t="s">
        <v>63</v>
      </c>
      <c r="L56" s="1" t="s">
        <v>339</v>
      </c>
    </row>
    <row r="57" spans="1:12" s="1" customFormat="1" x14ac:dyDescent="0.25">
      <c r="A57" s="1" t="s">
        <v>340</v>
      </c>
      <c r="B57" s="1" t="s">
        <v>341</v>
      </c>
      <c r="C57" s="1" t="str">
        <f t="shared" si="2"/>
        <v>CNIA President</v>
      </c>
      <c r="D57" s="1" t="s">
        <v>342</v>
      </c>
      <c r="E57" s="1" t="s">
        <v>343</v>
      </c>
      <c r="F57" s="1" t="s">
        <v>16</v>
      </c>
      <c r="G57" s="1" t="s">
        <v>17</v>
      </c>
      <c r="H57" s="1" t="s">
        <v>344</v>
      </c>
      <c r="I57" s="1" t="s">
        <v>345</v>
      </c>
      <c r="J57" s="9" t="s">
        <v>346</v>
      </c>
      <c r="K57" s="9" t="s">
        <v>63</v>
      </c>
      <c r="L57" s="1" t="s">
        <v>347</v>
      </c>
    </row>
    <row r="58" spans="1:12" s="1" customFormat="1" ht="26.45" customHeight="1" x14ac:dyDescent="0.25">
      <c r="A58" s="1" t="s">
        <v>348</v>
      </c>
      <c r="B58" s="1" t="s">
        <v>349</v>
      </c>
      <c r="C58" s="1" t="str">
        <f t="shared" si="2"/>
        <v>Zoee Astrachan</v>
      </c>
      <c r="D58" s="1" t="s">
        <v>350</v>
      </c>
      <c r="E58" s="1" t="s">
        <v>351</v>
      </c>
      <c r="F58" s="1" t="s">
        <v>16</v>
      </c>
      <c r="G58" s="1" t="s">
        <v>17</v>
      </c>
      <c r="H58" s="1" t="s">
        <v>312</v>
      </c>
      <c r="I58" s="1" t="s">
        <v>352</v>
      </c>
      <c r="J58" s="1" t="s">
        <v>353</v>
      </c>
      <c r="K58" s="1" t="s">
        <v>63</v>
      </c>
      <c r="L58" s="1" t="s">
        <v>64</v>
      </c>
    </row>
    <row r="59" spans="1:12" s="1" customFormat="1" ht="52.9" customHeight="1" x14ac:dyDescent="0.2">
      <c r="A59" s="1" t="s">
        <v>354</v>
      </c>
      <c r="B59" s="1" t="s">
        <v>355</v>
      </c>
      <c r="C59" s="1" t="str">
        <f t="shared" si="2"/>
        <v>Malcom Yeung</v>
      </c>
      <c r="D59" s="1" t="s">
        <v>356</v>
      </c>
      <c r="E59" s="1" t="s">
        <v>357</v>
      </c>
      <c r="F59" s="1" t="s">
        <v>16</v>
      </c>
      <c r="G59" s="1" t="s">
        <v>17</v>
      </c>
      <c r="H59" s="1" t="s">
        <v>18</v>
      </c>
      <c r="I59" s="1" t="s">
        <v>358</v>
      </c>
      <c r="J59" s="17" t="s">
        <v>359</v>
      </c>
      <c r="K59" s="17" t="s">
        <v>63</v>
      </c>
      <c r="L59" s="1" t="s">
        <v>227</v>
      </c>
    </row>
    <row r="60" spans="1:12" s="1" customFormat="1" x14ac:dyDescent="0.25">
      <c r="B60" s="27" t="s">
        <v>360</v>
      </c>
      <c r="C60" s="1" t="str">
        <f t="shared" si="2"/>
        <v xml:space="preserve">  </v>
      </c>
      <c r="D60" s="1" t="s">
        <v>361</v>
      </c>
      <c r="E60" s="1" t="s">
        <v>362</v>
      </c>
      <c r="F60" s="1" t="s">
        <v>16</v>
      </c>
      <c r="G60" s="1" t="s">
        <v>17</v>
      </c>
      <c r="H60" s="1" t="s">
        <v>363</v>
      </c>
      <c r="I60" s="1" t="s">
        <v>364</v>
      </c>
      <c r="K60" s="1" t="s">
        <v>21</v>
      </c>
      <c r="L60" s="1" t="s">
        <v>365</v>
      </c>
    </row>
    <row r="61" spans="1:12" s="1" customFormat="1" x14ac:dyDescent="0.2">
      <c r="A61" s="1" t="s">
        <v>366</v>
      </c>
      <c r="B61" s="1" t="s">
        <v>367</v>
      </c>
      <c r="C61" s="1" t="str">
        <f t="shared" si="2"/>
        <v>George   Chan</v>
      </c>
      <c r="D61" s="1" t="s">
        <v>368</v>
      </c>
      <c r="E61" s="1" t="s">
        <v>369</v>
      </c>
      <c r="F61" s="1" t="s">
        <v>16</v>
      </c>
      <c r="G61" s="1" t="s">
        <v>17</v>
      </c>
      <c r="H61" s="1" t="s">
        <v>363</v>
      </c>
      <c r="I61" s="1" t="s">
        <v>370</v>
      </c>
      <c r="J61" s="38" t="s">
        <v>371</v>
      </c>
      <c r="K61" s="17" t="s">
        <v>63</v>
      </c>
      <c r="L61" s="1" t="s">
        <v>365</v>
      </c>
    </row>
    <row r="62" spans="1:12" s="1" customFormat="1" ht="26.45" customHeight="1" x14ac:dyDescent="0.2">
      <c r="A62" s="1" t="s">
        <v>372</v>
      </c>
      <c r="B62" s="1" t="s">
        <v>373</v>
      </c>
      <c r="C62" s="1" t="str">
        <f t="shared" si="2"/>
        <v>Tracy Everwine</v>
      </c>
      <c r="D62" s="1" t="s">
        <v>374</v>
      </c>
      <c r="E62" s="1" t="s">
        <v>375</v>
      </c>
      <c r="F62" s="1" t="s">
        <v>16</v>
      </c>
      <c r="G62" s="1" t="s">
        <v>17</v>
      </c>
      <c r="H62" s="1">
        <v>94102</v>
      </c>
      <c r="I62" s="1" t="s">
        <v>376</v>
      </c>
      <c r="J62" s="15" t="s">
        <v>377</v>
      </c>
      <c r="K62" s="15" t="s">
        <v>21</v>
      </c>
      <c r="L62" s="1" t="s">
        <v>378</v>
      </c>
    </row>
    <row r="63" spans="1:12" s="1" customFormat="1" x14ac:dyDescent="0.2">
      <c r="A63" s="1" t="s">
        <v>39</v>
      </c>
      <c r="B63" s="1" t="s">
        <v>379</v>
      </c>
      <c r="C63" s="1" t="str">
        <f t="shared" si="2"/>
        <v>James Haas</v>
      </c>
      <c r="D63" s="1" t="s">
        <v>380</v>
      </c>
      <c r="E63" s="1" t="s">
        <v>381</v>
      </c>
      <c r="F63" s="1" t="s">
        <v>16</v>
      </c>
      <c r="G63" s="1" t="s">
        <v>17</v>
      </c>
      <c r="H63" s="1">
        <v>94102</v>
      </c>
      <c r="I63" s="1" t="s">
        <v>382</v>
      </c>
      <c r="J63" s="17" t="s">
        <v>383</v>
      </c>
      <c r="K63" s="17" t="s">
        <v>63</v>
      </c>
      <c r="L63" s="1" t="s">
        <v>378</v>
      </c>
    </row>
    <row r="64" spans="1:12" s="1" customFormat="1" ht="33.75" customHeight="1" x14ac:dyDescent="0.2">
      <c r="A64" s="1" t="s">
        <v>384</v>
      </c>
      <c r="B64" s="1" t="s">
        <v>385</v>
      </c>
      <c r="C64" s="1" t="str">
        <f t="shared" si="2"/>
        <v>Cynthia Huie</v>
      </c>
      <c r="D64" s="1" t="s">
        <v>386</v>
      </c>
      <c r="E64" s="1" t="s">
        <v>387</v>
      </c>
      <c r="F64" s="1" t="s">
        <v>16</v>
      </c>
      <c r="G64" s="1" t="s">
        <v>17</v>
      </c>
      <c r="H64" s="1" t="s">
        <v>388</v>
      </c>
      <c r="I64" s="1" t="s">
        <v>389</v>
      </c>
      <c r="J64" s="67" t="s">
        <v>390</v>
      </c>
      <c r="K64" s="1" t="s">
        <v>63</v>
      </c>
      <c r="L64" s="1" t="s">
        <v>148</v>
      </c>
    </row>
    <row r="65" spans="1:12" s="1" customFormat="1" x14ac:dyDescent="0.25">
      <c r="A65" s="1" t="s">
        <v>391</v>
      </c>
      <c r="B65" s="1" t="s">
        <v>392</v>
      </c>
      <c r="C65" s="1" t="str">
        <f t="shared" si="2"/>
        <v>Mary Miles</v>
      </c>
      <c r="D65" s="1" t="s">
        <v>393</v>
      </c>
      <c r="E65" s="1" t="s">
        <v>394</v>
      </c>
      <c r="F65" s="1" t="s">
        <v>16</v>
      </c>
      <c r="G65" s="1" t="s">
        <v>17</v>
      </c>
      <c r="H65" s="1" t="s">
        <v>37</v>
      </c>
      <c r="K65" s="1" t="s">
        <v>21</v>
      </c>
      <c r="L65" s="1" t="s">
        <v>22</v>
      </c>
    </row>
    <row r="66" spans="1:12" s="1" customFormat="1" ht="26.45" customHeight="1" x14ac:dyDescent="0.2">
      <c r="A66" s="1" t="s">
        <v>395</v>
      </c>
      <c r="B66" s="1" t="s">
        <v>396</v>
      </c>
      <c r="C66" s="1" t="str">
        <f t="shared" si="2"/>
        <v>George Wooding /  Rose Hillson</v>
      </c>
      <c r="D66" s="1" t="s">
        <v>397</v>
      </c>
      <c r="E66" s="1" t="s">
        <v>398</v>
      </c>
      <c r="F66" s="1" t="s">
        <v>16</v>
      </c>
      <c r="G66" s="1" t="s">
        <v>17</v>
      </c>
      <c r="H66" s="1" t="s">
        <v>399</v>
      </c>
      <c r="I66" s="1" t="s">
        <v>400</v>
      </c>
      <c r="J66" s="15" t="s">
        <v>401</v>
      </c>
      <c r="K66" s="16" t="s">
        <v>21</v>
      </c>
      <c r="L66" s="1" t="s">
        <v>22</v>
      </c>
    </row>
    <row r="67" spans="1:12" s="1" customFormat="1" ht="26.45" customHeight="1" x14ac:dyDescent="0.2">
      <c r="A67" s="1" t="s">
        <v>402</v>
      </c>
      <c r="B67" s="1" t="s">
        <v>403</v>
      </c>
      <c r="C67" s="1" t="str">
        <f t="shared" si="2"/>
        <v>Jason Jungreis</v>
      </c>
      <c r="D67" s="1" t="s">
        <v>404</v>
      </c>
      <c r="E67" s="1" t="s">
        <v>405</v>
      </c>
      <c r="F67" s="1" t="s">
        <v>16</v>
      </c>
      <c r="G67" s="1" t="s">
        <v>17</v>
      </c>
      <c r="H67" s="1">
        <v>94121</v>
      </c>
      <c r="I67" s="1" t="s">
        <v>406</v>
      </c>
      <c r="J67" s="15" t="s">
        <v>407</v>
      </c>
      <c r="K67" s="16" t="s">
        <v>63</v>
      </c>
      <c r="L67" s="1" t="s">
        <v>408</v>
      </c>
    </row>
    <row r="68" spans="1:12" s="1" customFormat="1" x14ac:dyDescent="0.2">
      <c r="A68" s="1" t="s">
        <v>409</v>
      </c>
      <c r="B68" s="1" t="s">
        <v>410</v>
      </c>
      <c r="C68" s="1" t="str">
        <f t="shared" si="2"/>
        <v>Carole Glosenger</v>
      </c>
      <c r="D68" s="1" t="s">
        <v>411</v>
      </c>
      <c r="E68" s="1" t="s">
        <v>412</v>
      </c>
      <c r="F68" s="1" t="s">
        <v>16</v>
      </c>
      <c r="G68" s="1" t="s">
        <v>17</v>
      </c>
      <c r="H68" s="1">
        <v>94117</v>
      </c>
      <c r="I68" s="1" t="s">
        <v>413</v>
      </c>
      <c r="J68" s="15" t="s">
        <v>414</v>
      </c>
      <c r="K68" s="15" t="s">
        <v>63</v>
      </c>
      <c r="L68" s="1" t="s">
        <v>34</v>
      </c>
    </row>
    <row r="69" spans="1:12" s="1" customFormat="1" ht="26.45" customHeight="1" x14ac:dyDescent="0.2">
      <c r="A69" s="1" t="s">
        <v>415</v>
      </c>
      <c r="B69" s="1" t="s">
        <v>416</v>
      </c>
      <c r="C69" s="1" t="str">
        <f t="shared" si="2"/>
        <v>Buddy Choy</v>
      </c>
      <c r="D69" s="1" t="s">
        <v>417</v>
      </c>
      <c r="E69" s="1" t="s">
        <v>418</v>
      </c>
      <c r="F69" s="1" t="s">
        <v>16</v>
      </c>
      <c r="G69" s="1" t="s">
        <v>17</v>
      </c>
      <c r="H69" s="1" t="s">
        <v>186</v>
      </c>
      <c r="I69" s="1" t="s">
        <v>419</v>
      </c>
      <c r="J69" s="17" t="s">
        <v>420</v>
      </c>
      <c r="K69" s="17" t="s">
        <v>21</v>
      </c>
      <c r="L69" s="1" t="s">
        <v>421</v>
      </c>
    </row>
    <row r="70" spans="1:12" s="1" customFormat="1" ht="26.45" customHeight="1" x14ac:dyDescent="0.2">
      <c r="A70" s="1" t="s">
        <v>422</v>
      </c>
      <c r="B70" s="1" t="s">
        <v>423</v>
      </c>
      <c r="C70" s="1" t="str">
        <f t="shared" si="2"/>
        <v>Chuck Turner</v>
      </c>
      <c r="D70" s="1" t="s">
        <v>424</v>
      </c>
      <c r="E70" s="1" t="s">
        <v>425</v>
      </c>
      <c r="F70" s="1" t="s">
        <v>16</v>
      </c>
      <c r="G70" s="1" t="s">
        <v>17</v>
      </c>
      <c r="H70" s="1" t="s">
        <v>426</v>
      </c>
      <c r="I70" s="1" t="s">
        <v>427</v>
      </c>
      <c r="J70" s="17" t="s">
        <v>428</v>
      </c>
      <c r="K70" s="17" t="s">
        <v>21</v>
      </c>
      <c r="L70" s="1" t="s">
        <v>22</v>
      </c>
    </row>
    <row r="71" spans="1:12" s="1" customFormat="1" x14ac:dyDescent="0.2">
      <c r="C71" s="1" t="s">
        <v>429</v>
      </c>
      <c r="D71" s="1" t="s">
        <v>430</v>
      </c>
      <c r="E71" s="1" t="s">
        <v>431</v>
      </c>
      <c r="F71" s="1" t="s">
        <v>432</v>
      </c>
      <c r="G71" s="1" t="s">
        <v>17</v>
      </c>
      <c r="H71" s="1">
        <v>94102</v>
      </c>
      <c r="I71" s="1" t="s">
        <v>433</v>
      </c>
      <c r="J71" s="15" t="s">
        <v>434</v>
      </c>
      <c r="K71" s="17" t="s">
        <v>218</v>
      </c>
      <c r="L71" s="1" t="s">
        <v>435</v>
      </c>
    </row>
    <row r="72" spans="1:12" s="1" customFormat="1" ht="13.9" customHeight="1" x14ac:dyDescent="0.2">
      <c r="C72" s="1" t="s">
        <v>436</v>
      </c>
      <c r="D72" s="1" t="s">
        <v>437</v>
      </c>
      <c r="E72" s="1" t="s">
        <v>438</v>
      </c>
      <c r="F72" s="1" t="s">
        <v>16</v>
      </c>
      <c r="G72" s="1" t="s">
        <v>17</v>
      </c>
      <c r="H72" s="1">
        <v>94116</v>
      </c>
      <c r="I72" s="1" t="s">
        <v>439</v>
      </c>
      <c r="J72" s="51" t="s">
        <v>440</v>
      </c>
      <c r="K72" s="17" t="s">
        <v>63</v>
      </c>
      <c r="L72" s="1" t="s">
        <v>441</v>
      </c>
    </row>
    <row r="73" spans="1:12" s="1" customFormat="1" ht="26.45" customHeight="1" x14ac:dyDescent="0.2">
      <c r="A73" s="1" t="s">
        <v>442</v>
      </c>
      <c r="B73" s="1" t="s">
        <v>443</v>
      </c>
      <c r="C73" s="1" t="s">
        <v>1855</v>
      </c>
      <c r="D73" s="1" t="s">
        <v>444</v>
      </c>
      <c r="E73" s="1" t="s">
        <v>445</v>
      </c>
      <c r="F73" s="1" t="s">
        <v>16</v>
      </c>
      <c r="G73" s="1" t="s">
        <v>17</v>
      </c>
      <c r="H73" s="1" t="s">
        <v>312</v>
      </c>
      <c r="I73" s="1" t="s">
        <v>446</v>
      </c>
      <c r="J73" s="15" t="s">
        <v>447</v>
      </c>
      <c r="K73" s="15" t="s">
        <v>63</v>
      </c>
      <c r="L73" s="1" t="s">
        <v>448</v>
      </c>
    </row>
    <row r="74" spans="1:12" s="1" customFormat="1" x14ac:dyDescent="0.25">
      <c r="A74" s="1" t="s">
        <v>187</v>
      </c>
      <c r="B74" s="1" t="s">
        <v>449</v>
      </c>
      <c r="C74" s="1" t="str">
        <f>A74&amp;" "&amp;B74</f>
        <v>Barbara Heffernan</v>
      </c>
      <c r="D74" s="1" t="s">
        <v>450</v>
      </c>
      <c r="E74" s="1" t="s">
        <v>451</v>
      </c>
      <c r="F74" s="1" t="s">
        <v>16</v>
      </c>
      <c r="G74" s="1" t="s">
        <v>17</v>
      </c>
      <c r="H74" s="1" t="s">
        <v>452</v>
      </c>
      <c r="J74" s="9" t="s">
        <v>453</v>
      </c>
      <c r="K74" s="9" t="s">
        <v>21</v>
      </c>
      <c r="L74" s="1" t="s">
        <v>454</v>
      </c>
    </row>
    <row r="75" spans="1:12" s="1" customFormat="1" x14ac:dyDescent="0.2">
      <c r="A75" s="1" t="s">
        <v>455</v>
      </c>
      <c r="B75" s="1" t="s">
        <v>456</v>
      </c>
      <c r="C75" s="1" t="str">
        <f>A75&amp;" "&amp;B75</f>
        <v>Anne  Bertrand</v>
      </c>
      <c r="D75" s="1" t="s">
        <v>450</v>
      </c>
      <c r="E75" s="1" t="s">
        <v>457</v>
      </c>
      <c r="F75" s="1" t="s">
        <v>16</v>
      </c>
      <c r="G75" s="1" t="s">
        <v>17</v>
      </c>
      <c r="H75" s="1">
        <v>94123</v>
      </c>
      <c r="J75" s="17" t="s">
        <v>458</v>
      </c>
      <c r="K75" s="22" t="s">
        <v>21</v>
      </c>
      <c r="L75" s="1" t="s">
        <v>454</v>
      </c>
    </row>
    <row r="76" spans="1:12" s="1" customFormat="1" x14ac:dyDescent="0.2">
      <c r="A76" s="1" t="s">
        <v>459</v>
      </c>
      <c r="B76" s="1" t="s">
        <v>460</v>
      </c>
      <c r="C76" s="1" t="str">
        <f>A76&amp;" "&amp;B76</f>
        <v>Brooke Sampson</v>
      </c>
      <c r="D76" s="1" t="s">
        <v>450</v>
      </c>
      <c r="J76" s="17" t="s">
        <v>461</v>
      </c>
      <c r="K76" s="22" t="s">
        <v>63</v>
      </c>
      <c r="L76" s="1" t="s">
        <v>454</v>
      </c>
    </row>
    <row r="77" spans="1:12" s="1" customFormat="1" x14ac:dyDescent="0.2">
      <c r="A77" s="1" t="s">
        <v>462</v>
      </c>
      <c r="B77" s="1" t="s">
        <v>463</v>
      </c>
      <c r="C77" s="1" t="str">
        <f>A77&amp;" "&amp;B77</f>
        <v>Rick Hall</v>
      </c>
      <c r="D77" s="1" t="s">
        <v>464</v>
      </c>
      <c r="E77" s="1" t="s">
        <v>465</v>
      </c>
      <c r="F77" s="1" t="s">
        <v>16</v>
      </c>
      <c r="G77" s="1" t="s">
        <v>17</v>
      </c>
      <c r="H77" s="1">
        <v>94103</v>
      </c>
      <c r="I77" s="1" t="s">
        <v>466</v>
      </c>
      <c r="J77" s="15" t="s">
        <v>467</v>
      </c>
      <c r="K77" s="16" t="s">
        <v>21</v>
      </c>
      <c r="L77" s="1" t="s">
        <v>64</v>
      </c>
    </row>
    <row r="78" spans="1:12" s="1" customFormat="1" x14ac:dyDescent="0.2">
      <c r="A78" s="1" t="s">
        <v>70</v>
      </c>
      <c r="B78" s="1" t="s">
        <v>468</v>
      </c>
      <c r="C78" s="1" t="s">
        <v>469</v>
      </c>
      <c r="D78" s="1" t="s">
        <v>470</v>
      </c>
      <c r="E78" s="1" t="s">
        <v>471</v>
      </c>
      <c r="F78" s="1" t="s">
        <v>16</v>
      </c>
      <c r="G78" s="1" t="s">
        <v>17</v>
      </c>
      <c r="H78" s="1">
        <v>94122</v>
      </c>
      <c r="J78" s="46" t="s">
        <v>472</v>
      </c>
      <c r="K78" s="16" t="s">
        <v>63</v>
      </c>
      <c r="L78" s="1" t="s">
        <v>441</v>
      </c>
    </row>
    <row r="79" spans="1:12" s="1" customFormat="1" ht="26.45" customHeight="1" x14ac:dyDescent="0.25">
      <c r="A79" s="1" t="s">
        <v>473</v>
      </c>
      <c r="B79" s="1" t="s">
        <v>474</v>
      </c>
      <c r="C79" s="1" t="s">
        <v>475</v>
      </c>
      <c r="D79" s="1" t="s">
        <v>476</v>
      </c>
      <c r="E79" s="1" t="s">
        <v>477</v>
      </c>
      <c r="F79" s="1" t="s">
        <v>16</v>
      </c>
      <c r="G79" s="1" t="s">
        <v>17</v>
      </c>
      <c r="H79" s="1">
        <v>94131</v>
      </c>
      <c r="I79" s="1" t="s">
        <v>478</v>
      </c>
      <c r="J79" s="9" t="s">
        <v>479</v>
      </c>
      <c r="K79" s="9" t="s">
        <v>63</v>
      </c>
      <c r="L79" s="1" t="s">
        <v>480</v>
      </c>
    </row>
    <row r="80" spans="1:12" s="1" customFormat="1" ht="26.45" customHeight="1" x14ac:dyDescent="0.25">
      <c r="A80" s="1" t="s">
        <v>481</v>
      </c>
      <c r="B80" s="55" t="s">
        <v>482</v>
      </c>
      <c r="C80" s="1" t="str">
        <f>A80&amp;" "&amp;B80</f>
        <v>Carey Rutigliano</v>
      </c>
      <c r="D80" s="1" t="s">
        <v>483</v>
      </c>
      <c r="E80" s="1" t="s">
        <v>484</v>
      </c>
      <c r="F80" s="1" t="s">
        <v>16</v>
      </c>
      <c r="G80" s="1" t="s">
        <v>17</v>
      </c>
      <c r="H80" s="1" t="s">
        <v>485</v>
      </c>
      <c r="I80" s="1" t="s">
        <v>486</v>
      </c>
      <c r="J80" s="1" t="s">
        <v>487</v>
      </c>
      <c r="K80" s="1" t="s">
        <v>63</v>
      </c>
      <c r="L80" s="1" t="s">
        <v>488</v>
      </c>
    </row>
    <row r="81" spans="1:13" s="1" customFormat="1" ht="26.45" customHeight="1" x14ac:dyDescent="0.25">
      <c r="A81" s="1" t="s">
        <v>489</v>
      </c>
      <c r="B81" s="55" t="s">
        <v>490</v>
      </c>
      <c r="C81" s="1" t="str">
        <f>A81&amp;" "&amp;B81</f>
        <v>Judd Winick</v>
      </c>
      <c r="D81" s="1" t="s">
        <v>491</v>
      </c>
      <c r="E81" s="1" t="s">
        <v>492</v>
      </c>
      <c r="F81" s="1" t="s">
        <v>16</v>
      </c>
      <c r="G81" s="1" t="s">
        <v>17</v>
      </c>
      <c r="H81" s="1">
        <v>94131</v>
      </c>
      <c r="I81" s="1" t="s">
        <v>493</v>
      </c>
      <c r="J81" s="9" t="s">
        <v>494</v>
      </c>
      <c r="K81" s="9" t="s">
        <v>21</v>
      </c>
      <c r="L81" s="1" t="s">
        <v>49</v>
      </c>
    </row>
    <row r="82" spans="1:13" s="1" customFormat="1" ht="26.45" customHeight="1" x14ac:dyDescent="0.25">
      <c r="A82" s="1" t="s">
        <v>495</v>
      </c>
      <c r="B82" s="55" t="s">
        <v>496</v>
      </c>
      <c r="C82" s="1" t="str">
        <f>A82&amp;" "&amp;B82</f>
        <v>Duncan Ley</v>
      </c>
      <c r="D82" s="1" t="s">
        <v>497</v>
      </c>
      <c r="E82" s="59" t="s">
        <v>498</v>
      </c>
      <c r="F82" s="59" t="s">
        <v>16</v>
      </c>
      <c r="G82" s="59" t="s">
        <v>17</v>
      </c>
      <c r="H82" s="59">
        <v>94164</v>
      </c>
      <c r="I82" s="59" t="s">
        <v>499</v>
      </c>
      <c r="J82" s="60" t="s">
        <v>500</v>
      </c>
      <c r="K82" s="60" t="s">
        <v>63</v>
      </c>
      <c r="L82" s="59" t="s">
        <v>501</v>
      </c>
    </row>
    <row r="83" spans="1:13" s="1" customFormat="1" ht="26.45" customHeight="1" x14ac:dyDescent="0.2">
      <c r="B83" s="55"/>
      <c r="C83" s="65" t="s">
        <v>502</v>
      </c>
      <c r="D83" s="1" t="s">
        <v>503</v>
      </c>
      <c r="E83" s="59" t="s">
        <v>504</v>
      </c>
      <c r="F83" s="59" t="s">
        <v>16</v>
      </c>
      <c r="G83" s="59" t="s">
        <v>17</v>
      </c>
      <c r="H83" s="59">
        <v>94107</v>
      </c>
      <c r="I83" s="59" t="s">
        <v>14</v>
      </c>
      <c r="J83" s="60" t="s">
        <v>505</v>
      </c>
      <c r="K83" s="60" t="s">
        <v>63</v>
      </c>
      <c r="L83" s="59" t="s">
        <v>506</v>
      </c>
      <c r="M83" s="57"/>
    </row>
    <row r="84" spans="1:13" s="1" customFormat="1" ht="26.45" customHeight="1" x14ac:dyDescent="0.2">
      <c r="A84" s="1" t="s">
        <v>507</v>
      </c>
      <c r="B84" s="55" t="s">
        <v>508</v>
      </c>
      <c r="C84" s="22" t="s">
        <v>509</v>
      </c>
      <c r="D84" s="1" t="s">
        <v>510</v>
      </c>
      <c r="E84" s="1" t="s">
        <v>511</v>
      </c>
      <c r="F84" s="1" t="s">
        <v>16</v>
      </c>
      <c r="G84" s="1" t="s">
        <v>17</v>
      </c>
      <c r="H84" s="1" t="s">
        <v>305</v>
      </c>
      <c r="I84" s="64" t="s">
        <v>512</v>
      </c>
      <c r="J84" s="64" t="s">
        <v>513</v>
      </c>
      <c r="K84" s="9" t="s">
        <v>63</v>
      </c>
      <c r="L84" s="1" t="s">
        <v>514</v>
      </c>
      <c r="M84" s="57"/>
    </row>
    <row r="85" spans="1:13" s="52" customFormat="1" ht="26.45" customHeight="1" x14ac:dyDescent="0.2">
      <c r="B85" s="56"/>
      <c r="C85" s="22" t="s">
        <v>502</v>
      </c>
      <c r="D85" s="1" t="s">
        <v>510</v>
      </c>
      <c r="E85" s="1" t="s">
        <v>511</v>
      </c>
      <c r="F85" s="1" t="s">
        <v>16</v>
      </c>
      <c r="G85" s="1" t="s">
        <v>17</v>
      </c>
      <c r="H85" s="1" t="s">
        <v>305</v>
      </c>
      <c r="I85" s="64" t="s">
        <v>515</v>
      </c>
      <c r="J85" s="39" t="s">
        <v>516</v>
      </c>
      <c r="K85" s="9" t="s">
        <v>63</v>
      </c>
      <c r="L85" s="1" t="s">
        <v>514</v>
      </c>
      <c r="M85" s="58"/>
    </row>
    <row r="86" spans="1:13" s="1" customFormat="1" ht="39.6" customHeight="1" x14ac:dyDescent="0.2">
      <c r="A86" s="1" t="s">
        <v>517</v>
      </c>
      <c r="C86" s="61" t="str">
        <f t="shared" ref="C86:C93" si="3">A86&amp;" "&amp;B86</f>
        <v xml:space="preserve">Planning and Land Use Committee </v>
      </c>
      <c r="D86" s="61" t="s">
        <v>518</v>
      </c>
      <c r="E86" s="61" t="s">
        <v>1844</v>
      </c>
      <c r="F86" s="61" t="s">
        <v>16</v>
      </c>
      <c r="G86" s="61" t="s">
        <v>17</v>
      </c>
      <c r="H86" s="61" t="s">
        <v>312</v>
      </c>
      <c r="I86" s="61"/>
      <c r="J86" s="62" t="s">
        <v>519</v>
      </c>
      <c r="K86" s="63" t="s">
        <v>63</v>
      </c>
      <c r="L86" s="61" t="s">
        <v>520</v>
      </c>
    </row>
    <row r="87" spans="1:13" s="1" customFormat="1" ht="26.45" customHeight="1" x14ac:dyDescent="0.2">
      <c r="A87" s="1" t="s">
        <v>521</v>
      </c>
      <c r="B87" s="1" t="s">
        <v>522</v>
      </c>
      <c r="C87" s="1" t="str">
        <f t="shared" si="3"/>
        <v>Kevin Riley</v>
      </c>
      <c r="D87" s="1" t="s">
        <v>523</v>
      </c>
      <c r="E87" s="1" t="s">
        <v>524</v>
      </c>
      <c r="F87" s="1" t="s">
        <v>16</v>
      </c>
      <c r="G87" s="1" t="s">
        <v>17</v>
      </c>
      <c r="H87" s="1" t="s">
        <v>312</v>
      </c>
      <c r="I87" s="1" t="s">
        <v>525</v>
      </c>
      <c r="J87" s="15" t="s">
        <v>526</v>
      </c>
      <c r="K87" s="15" t="s">
        <v>63</v>
      </c>
      <c r="L87" s="1" t="s">
        <v>527</v>
      </c>
    </row>
    <row r="88" spans="1:13" s="1" customFormat="1" ht="26.45" customHeight="1" x14ac:dyDescent="0.25">
      <c r="A88" s="1" t="s">
        <v>528</v>
      </c>
      <c r="B88" s="1" t="s">
        <v>529</v>
      </c>
      <c r="C88" s="1" t="str">
        <f t="shared" si="3"/>
        <v>Judith Berkowitz</v>
      </c>
      <c r="D88" s="1" t="s">
        <v>530</v>
      </c>
      <c r="E88" s="1" t="s">
        <v>531</v>
      </c>
      <c r="F88" s="1" t="s">
        <v>16</v>
      </c>
      <c r="G88" s="1" t="s">
        <v>17</v>
      </c>
      <c r="H88" s="1">
        <v>94103</v>
      </c>
      <c r="J88" s="1" t="s">
        <v>532</v>
      </c>
      <c r="K88" s="1" t="s">
        <v>63</v>
      </c>
      <c r="L88" s="1" t="s">
        <v>64</v>
      </c>
    </row>
    <row r="89" spans="1:13" s="1" customFormat="1" ht="26.45" customHeight="1" x14ac:dyDescent="0.25">
      <c r="A89" s="1" t="s">
        <v>533</v>
      </c>
      <c r="B89" s="1" t="s">
        <v>534</v>
      </c>
      <c r="C89" s="1" t="str">
        <f t="shared" si="3"/>
        <v>Earl Shaddix</v>
      </c>
      <c r="D89" s="1" t="s">
        <v>535</v>
      </c>
      <c r="E89" s="1" t="s">
        <v>536</v>
      </c>
      <c r="F89" s="1" t="s">
        <v>16</v>
      </c>
      <c r="G89" s="1" t="s">
        <v>17</v>
      </c>
      <c r="H89" s="1">
        <v>94124</v>
      </c>
      <c r="I89" s="1" t="s">
        <v>537</v>
      </c>
      <c r="J89" s="9" t="s">
        <v>538</v>
      </c>
      <c r="K89" s="9" t="s">
        <v>63</v>
      </c>
      <c r="L89" s="1" t="s">
        <v>56</v>
      </c>
    </row>
    <row r="90" spans="1:13" s="1" customFormat="1" x14ac:dyDescent="0.25">
      <c r="A90" s="1" t="s">
        <v>539</v>
      </c>
      <c r="B90" s="1" t="s">
        <v>540</v>
      </c>
      <c r="C90" s="1" t="str">
        <f t="shared" si="3"/>
        <v>Alice Aronow</v>
      </c>
      <c r="D90" s="1" t="s">
        <v>541</v>
      </c>
      <c r="E90" s="1" t="s">
        <v>542</v>
      </c>
      <c r="F90" s="1" t="s">
        <v>16</v>
      </c>
      <c r="G90" s="1" t="s">
        <v>17</v>
      </c>
      <c r="H90" s="1">
        <v>94127</v>
      </c>
      <c r="I90" s="1" t="s">
        <v>543</v>
      </c>
      <c r="J90" s="9" t="s">
        <v>544</v>
      </c>
      <c r="K90" s="9" t="s">
        <v>63</v>
      </c>
      <c r="L90" s="1" t="s">
        <v>141</v>
      </c>
    </row>
    <row r="91" spans="1:13" s="1" customFormat="1" x14ac:dyDescent="0.2">
      <c r="A91" s="1" t="s">
        <v>545</v>
      </c>
      <c r="B91" s="1" t="s">
        <v>546</v>
      </c>
      <c r="C91" s="1" t="str">
        <f t="shared" si="3"/>
        <v>Sarah Jones</v>
      </c>
      <c r="D91" s="1" t="s">
        <v>547</v>
      </c>
      <c r="E91" s="1" t="s">
        <v>548</v>
      </c>
      <c r="F91" s="1" t="s">
        <v>16</v>
      </c>
      <c r="G91" s="1" t="s">
        <v>17</v>
      </c>
      <c r="H91" s="1" t="s">
        <v>549</v>
      </c>
      <c r="I91" s="1" t="s">
        <v>550</v>
      </c>
      <c r="J91" s="17" t="s">
        <v>551</v>
      </c>
      <c r="K91" s="9" t="s">
        <v>21</v>
      </c>
      <c r="L91" s="1" t="s">
        <v>552</v>
      </c>
    </row>
    <row r="92" spans="1:13" s="1" customFormat="1" x14ac:dyDescent="0.2">
      <c r="A92" s="1" t="s">
        <v>35</v>
      </c>
      <c r="B92" s="1" t="s">
        <v>553</v>
      </c>
      <c r="C92" s="1" t="str">
        <f t="shared" si="3"/>
        <v>Sue Mortensen</v>
      </c>
      <c r="D92" s="1" t="s">
        <v>554</v>
      </c>
      <c r="E92" s="1" t="s">
        <v>555</v>
      </c>
      <c r="F92" s="1" t="s">
        <v>16</v>
      </c>
      <c r="G92" s="1" t="s">
        <v>17</v>
      </c>
      <c r="H92" s="1">
        <v>94107</v>
      </c>
      <c r="I92" s="1" t="s">
        <v>556</v>
      </c>
      <c r="J92" s="15" t="s">
        <v>557</v>
      </c>
      <c r="K92" s="9" t="s">
        <v>21</v>
      </c>
      <c r="L92" s="1" t="s">
        <v>558</v>
      </c>
    </row>
    <row r="93" spans="1:13" s="1" customFormat="1" ht="26.45" customHeight="1" x14ac:dyDescent="0.2">
      <c r="A93" s="1" t="s">
        <v>559</v>
      </c>
      <c r="B93" s="1" t="s">
        <v>560</v>
      </c>
      <c r="C93" s="1" t="str">
        <f t="shared" si="3"/>
        <v>Priscilla Botsford</v>
      </c>
      <c r="D93" s="1" t="s">
        <v>561</v>
      </c>
      <c r="E93" s="1" t="s">
        <v>562</v>
      </c>
      <c r="F93" s="1" t="s">
        <v>16</v>
      </c>
      <c r="G93" s="1" t="s">
        <v>17</v>
      </c>
      <c r="H93" s="1" t="s">
        <v>312</v>
      </c>
      <c r="I93" s="1" t="s">
        <v>563</v>
      </c>
      <c r="J93" s="17" t="s">
        <v>564</v>
      </c>
      <c r="K93" s="9" t="s">
        <v>21</v>
      </c>
      <c r="L93" s="1" t="s">
        <v>280</v>
      </c>
    </row>
    <row r="94" spans="1:13" s="1" customFormat="1" ht="26.45" customHeight="1" x14ac:dyDescent="0.2">
      <c r="A94" s="1" t="s">
        <v>288</v>
      </c>
      <c r="B94" s="1" t="s">
        <v>565</v>
      </c>
      <c r="C94" s="1" t="s">
        <v>566</v>
      </c>
      <c r="D94" s="1" t="s">
        <v>567</v>
      </c>
      <c r="E94" s="1" t="s">
        <v>568</v>
      </c>
      <c r="F94" s="1" t="s">
        <v>16</v>
      </c>
      <c r="G94" s="1" t="s">
        <v>17</v>
      </c>
      <c r="H94" s="1" t="s">
        <v>569</v>
      </c>
      <c r="J94" s="50" t="s">
        <v>570</v>
      </c>
      <c r="K94" s="9" t="s">
        <v>63</v>
      </c>
      <c r="L94" s="1" t="s">
        <v>280</v>
      </c>
    </row>
    <row r="95" spans="1:13" s="1" customFormat="1" x14ac:dyDescent="0.2">
      <c r="A95" s="1" t="s">
        <v>571</v>
      </c>
      <c r="B95" s="1" t="s">
        <v>572</v>
      </c>
      <c r="C95" s="1" t="str">
        <f>A95&amp;" "&amp;B95</f>
        <v>Bruce Murphy</v>
      </c>
      <c r="D95" s="1" t="s">
        <v>573</v>
      </c>
      <c r="E95" s="1" t="s">
        <v>574</v>
      </c>
      <c r="F95" s="1" t="s">
        <v>16</v>
      </c>
      <c r="G95" s="1" t="s">
        <v>17</v>
      </c>
      <c r="H95" s="1" t="s">
        <v>575</v>
      </c>
      <c r="I95" s="1" t="s">
        <v>576</v>
      </c>
      <c r="J95" s="17" t="s">
        <v>577</v>
      </c>
      <c r="K95" s="17" t="s">
        <v>21</v>
      </c>
      <c r="L95" s="1" t="s">
        <v>578</v>
      </c>
    </row>
    <row r="96" spans="1:13" s="1" customFormat="1" x14ac:dyDescent="0.2">
      <c r="A96" s="1" t="s">
        <v>579</v>
      </c>
      <c r="B96" s="1" t="s">
        <v>580</v>
      </c>
      <c r="C96" s="1" t="str">
        <f>A96&amp;" "&amp;B96</f>
        <v>Jack Keating</v>
      </c>
      <c r="D96" s="1" t="s">
        <v>581</v>
      </c>
      <c r="E96" s="1" t="s">
        <v>582</v>
      </c>
      <c r="F96" s="1" t="s">
        <v>16</v>
      </c>
      <c r="G96" s="1" t="s">
        <v>17</v>
      </c>
      <c r="H96" s="1">
        <v>94114</v>
      </c>
      <c r="I96" s="1" t="s">
        <v>583</v>
      </c>
      <c r="J96" s="17" t="s">
        <v>584</v>
      </c>
      <c r="K96" s="17" t="s">
        <v>21</v>
      </c>
      <c r="L96" s="1" t="s">
        <v>280</v>
      </c>
    </row>
    <row r="97" spans="1:12" s="1" customFormat="1" x14ac:dyDescent="0.2">
      <c r="A97" s="1" t="s">
        <v>585</v>
      </c>
      <c r="B97" s="1" t="s">
        <v>586</v>
      </c>
      <c r="C97" s="1" t="str">
        <f>A97&amp;" "&amp;B97</f>
        <v>Maribel Ramirez</v>
      </c>
      <c r="D97" s="1" t="s">
        <v>587</v>
      </c>
      <c r="E97" s="1" t="s">
        <v>588</v>
      </c>
      <c r="F97" s="1" t="s">
        <v>16</v>
      </c>
      <c r="G97" s="1" t="s">
        <v>17</v>
      </c>
      <c r="H97" s="1">
        <v>94112</v>
      </c>
      <c r="I97" s="1" t="s">
        <v>589</v>
      </c>
      <c r="J97" s="15" t="s">
        <v>590</v>
      </c>
      <c r="K97" s="15" t="s">
        <v>63</v>
      </c>
      <c r="L97" s="1" t="s">
        <v>591</v>
      </c>
    </row>
    <row r="98" spans="1:12" s="1" customFormat="1" ht="26.45" customHeight="1" x14ac:dyDescent="0.2">
      <c r="A98" s="1" t="s">
        <v>592</v>
      </c>
      <c r="B98" s="1" t="s">
        <v>593</v>
      </c>
      <c r="C98" s="1" t="str">
        <f>A98&amp;" "&amp;B98</f>
        <v>Mel Flores</v>
      </c>
      <c r="D98" s="1" t="s">
        <v>594</v>
      </c>
      <c r="E98" s="1" t="s">
        <v>595</v>
      </c>
      <c r="F98" s="1" t="s">
        <v>16</v>
      </c>
      <c r="G98" s="1" t="s">
        <v>17</v>
      </c>
      <c r="H98" s="1">
        <v>94112</v>
      </c>
      <c r="I98" s="1" t="s">
        <v>596</v>
      </c>
      <c r="J98" s="15" t="s">
        <v>597</v>
      </c>
      <c r="K98" s="9" t="s">
        <v>21</v>
      </c>
      <c r="L98" s="1" t="s">
        <v>598</v>
      </c>
    </row>
    <row r="99" spans="1:12" s="1" customFormat="1" x14ac:dyDescent="0.2">
      <c r="A99" s="1" t="s">
        <v>599</v>
      </c>
      <c r="B99" s="1" t="s">
        <v>600</v>
      </c>
      <c r="C99" s="1" t="str">
        <f>A99&amp;" "&amp;B99</f>
        <v>Jonathan G</v>
      </c>
      <c r="D99" s="1" t="s">
        <v>601</v>
      </c>
      <c r="E99" s="1" t="s">
        <v>602</v>
      </c>
      <c r="F99" s="1" t="s">
        <v>16</v>
      </c>
      <c r="G99" s="1" t="s">
        <v>17</v>
      </c>
      <c r="H99" s="1">
        <v>94124</v>
      </c>
      <c r="J99" s="17"/>
      <c r="K99" s="9" t="s">
        <v>21</v>
      </c>
      <c r="L99" s="1" t="s">
        <v>56</v>
      </c>
    </row>
    <row r="100" spans="1:12" s="1" customFormat="1" ht="18.75" customHeight="1" x14ac:dyDescent="0.25">
      <c r="C100" s="1" t="s">
        <v>603</v>
      </c>
      <c r="D100" s="1" t="s">
        <v>604</v>
      </c>
      <c r="E100" s="1" t="s">
        <v>605</v>
      </c>
      <c r="F100" s="1" t="s">
        <v>16</v>
      </c>
      <c r="G100" s="1" t="s">
        <v>17</v>
      </c>
      <c r="H100" s="1">
        <v>94124</v>
      </c>
      <c r="I100" s="42" t="s">
        <v>606</v>
      </c>
      <c r="J100" s="44" t="s">
        <v>607</v>
      </c>
      <c r="K100" s="43" t="s">
        <v>63</v>
      </c>
      <c r="L100" s="1" t="s">
        <v>56</v>
      </c>
    </row>
    <row r="101" spans="1:12" s="1" customFormat="1" ht="25.5" x14ac:dyDescent="0.2">
      <c r="A101" s="1" t="s">
        <v>608</v>
      </c>
      <c r="B101" s="1" t="s">
        <v>609</v>
      </c>
      <c r="C101" s="1" t="s">
        <v>610</v>
      </c>
      <c r="D101" s="1" t="s">
        <v>611</v>
      </c>
      <c r="E101" s="1" t="s">
        <v>612</v>
      </c>
      <c r="F101" s="1" t="s">
        <v>16</v>
      </c>
      <c r="G101" s="1" t="s">
        <v>17</v>
      </c>
      <c r="H101" s="1">
        <v>94115</v>
      </c>
      <c r="J101" s="34" t="s">
        <v>613</v>
      </c>
      <c r="K101" s="16" t="s">
        <v>63</v>
      </c>
      <c r="L101" s="1" t="s">
        <v>614</v>
      </c>
    </row>
    <row r="102" spans="1:12" s="1" customFormat="1" x14ac:dyDescent="0.2">
      <c r="C102" s="1" t="s">
        <v>615</v>
      </c>
      <c r="D102" s="1" t="s">
        <v>616</v>
      </c>
      <c r="E102" s="1" t="s">
        <v>617</v>
      </c>
      <c r="F102" s="1" t="s">
        <v>16</v>
      </c>
      <c r="G102" s="1" t="s">
        <v>17</v>
      </c>
      <c r="H102" s="1">
        <v>94115</v>
      </c>
      <c r="I102" s="1" t="s">
        <v>618</v>
      </c>
      <c r="J102" s="66" t="s">
        <v>619</v>
      </c>
      <c r="K102" s="16" t="s">
        <v>21</v>
      </c>
      <c r="L102" s="1" t="s">
        <v>28</v>
      </c>
    </row>
    <row r="103" spans="1:12" s="1" customFormat="1" x14ac:dyDescent="0.25">
      <c r="A103" s="1" t="s">
        <v>620</v>
      </c>
      <c r="B103" s="1" t="s">
        <v>621</v>
      </c>
      <c r="C103" s="1" t="str">
        <f t="shared" ref="C103:C108" si="4">A103&amp;" "&amp;B103</f>
        <v>Saskia Verbeck</v>
      </c>
      <c r="D103" s="1" t="s">
        <v>622</v>
      </c>
      <c r="E103" s="1" t="s">
        <v>623</v>
      </c>
      <c r="F103" s="1" t="s">
        <v>16</v>
      </c>
      <c r="G103" s="1" t="s">
        <v>17</v>
      </c>
      <c r="H103" s="1">
        <v>94110</v>
      </c>
      <c r="I103" s="1" t="s">
        <v>624</v>
      </c>
      <c r="J103" s="9" t="s">
        <v>625</v>
      </c>
      <c r="K103" s="9" t="s">
        <v>21</v>
      </c>
      <c r="L103" s="1" t="s">
        <v>181</v>
      </c>
    </row>
    <row r="104" spans="1:12" s="1" customFormat="1" ht="32.25" customHeight="1" x14ac:dyDescent="0.25">
      <c r="A104" s="1" t="s">
        <v>626</v>
      </c>
      <c r="B104" s="1" t="s">
        <v>627</v>
      </c>
      <c r="C104" s="1" t="str">
        <f t="shared" si="4"/>
        <v>FHA Community Manager</v>
      </c>
      <c r="D104" s="1" t="s">
        <v>628</v>
      </c>
      <c r="E104" s="1" t="s">
        <v>629</v>
      </c>
      <c r="F104" s="1" t="s">
        <v>16</v>
      </c>
      <c r="G104" s="1" t="s">
        <v>17</v>
      </c>
      <c r="H104" s="1" t="s">
        <v>630</v>
      </c>
      <c r="I104" s="1" t="s">
        <v>631</v>
      </c>
      <c r="J104" s="1" t="s">
        <v>632</v>
      </c>
      <c r="K104" s="1" t="s">
        <v>63</v>
      </c>
      <c r="L104" s="1" t="s">
        <v>141</v>
      </c>
    </row>
    <row r="105" spans="1:12" s="1" customFormat="1" ht="26.45" customHeight="1" x14ac:dyDescent="0.25">
      <c r="A105" s="1" t="s">
        <v>633</v>
      </c>
      <c r="B105" s="1" t="s">
        <v>634</v>
      </c>
      <c r="C105" s="1" t="str">
        <f t="shared" si="4"/>
        <v>Walter Caplan</v>
      </c>
      <c r="D105" s="1" t="s">
        <v>635</v>
      </c>
      <c r="E105" s="1" t="s">
        <v>636</v>
      </c>
      <c r="F105" s="1" t="s">
        <v>16</v>
      </c>
      <c r="G105" s="1" t="s">
        <v>17</v>
      </c>
      <c r="H105" s="1" t="s">
        <v>637</v>
      </c>
      <c r="I105" s="1" t="s">
        <v>638</v>
      </c>
      <c r="J105" s="9" t="s">
        <v>639</v>
      </c>
      <c r="K105" s="1" t="s">
        <v>21</v>
      </c>
      <c r="L105" s="1" t="s">
        <v>640</v>
      </c>
    </row>
    <row r="106" spans="1:12" s="1" customFormat="1" x14ac:dyDescent="0.25">
      <c r="A106" s="1" t="s">
        <v>641</v>
      </c>
      <c r="B106" s="1" t="s">
        <v>642</v>
      </c>
      <c r="C106" s="1" t="str">
        <f t="shared" si="4"/>
        <v>Howard Wong</v>
      </c>
      <c r="D106" s="1" t="s">
        <v>643</v>
      </c>
      <c r="E106" s="1" t="s">
        <v>644</v>
      </c>
      <c r="F106" s="1" t="s">
        <v>16</v>
      </c>
      <c r="G106" s="1" t="s">
        <v>17</v>
      </c>
      <c r="H106" s="1" t="s">
        <v>18</v>
      </c>
      <c r="J106" s="1" t="s">
        <v>645</v>
      </c>
      <c r="K106" s="9" t="s">
        <v>21</v>
      </c>
      <c r="L106" s="1" t="s">
        <v>646</v>
      </c>
    </row>
    <row r="107" spans="1:12" s="1" customFormat="1" x14ac:dyDescent="0.25">
      <c r="A107" s="1" t="s">
        <v>647</v>
      </c>
      <c r="B107" s="1" t="s">
        <v>648</v>
      </c>
      <c r="C107" s="1" t="str">
        <f t="shared" si="4"/>
        <v>Scott Simons</v>
      </c>
      <c r="D107" s="1" t="s">
        <v>649</v>
      </c>
      <c r="E107" s="1" t="s">
        <v>650</v>
      </c>
      <c r="F107" s="1" t="s">
        <v>16</v>
      </c>
      <c r="G107" s="1" t="s">
        <v>17</v>
      </c>
      <c r="H107" s="1">
        <v>94107</v>
      </c>
      <c r="I107" s="1" t="s">
        <v>651</v>
      </c>
      <c r="J107" s="9" t="s">
        <v>652</v>
      </c>
      <c r="K107" s="9" t="s">
        <v>63</v>
      </c>
      <c r="L107" s="1" t="s">
        <v>558</v>
      </c>
    </row>
    <row r="108" spans="1:12" s="1" customFormat="1" x14ac:dyDescent="0.25">
      <c r="A108" s="1" t="s">
        <v>653</v>
      </c>
      <c r="B108" s="1" t="s">
        <v>654</v>
      </c>
      <c r="C108" s="1" t="str">
        <f t="shared" si="4"/>
        <v>C. Weibel</v>
      </c>
      <c r="D108" s="1" t="s">
        <v>655</v>
      </c>
      <c r="J108" s="9" t="s">
        <v>656</v>
      </c>
      <c r="K108" s="9" t="s">
        <v>63</v>
      </c>
      <c r="L108" s="1" t="s">
        <v>657</v>
      </c>
    </row>
    <row r="109" spans="1:12" s="1" customFormat="1" ht="26.45" customHeight="1" x14ac:dyDescent="0.25">
      <c r="C109" s="1" t="s">
        <v>658</v>
      </c>
      <c r="D109" s="1" t="s">
        <v>659</v>
      </c>
      <c r="E109" s="1" t="s">
        <v>660</v>
      </c>
      <c r="F109" s="1" t="s">
        <v>16</v>
      </c>
      <c r="G109" s="1" t="s">
        <v>17</v>
      </c>
      <c r="H109" s="1">
        <v>94108</v>
      </c>
      <c r="I109" s="1" t="s">
        <v>661</v>
      </c>
      <c r="J109" s="9" t="s">
        <v>662</v>
      </c>
      <c r="K109" s="9" t="s">
        <v>63</v>
      </c>
      <c r="L109" s="1" t="s">
        <v>663</v>
      </c>
    </row>
    <row r="110" spans="1:12" s="1" customFormat="1" x14ac:dyDescent="0.25">
      <c r="C110" s="1" t="s">
        <v>664</v>
      </c>
      <c r="D110" s="1" t="s">
        <v>665</v>
      </c>
      <c r="E110" s="1" t="s">
        <v>666</v>
      </c>
      <c r="F110" s="1" t="s">
        <v>16</v>
      </c>
      <c r="G110" s="1" t="s">
        <v>17</v>
      </c>
      <c r="H110" s="1">
        <v>94122</v>
      </c>
      <c r="J110" s="9" t="s">
        <v>667</v>
      </c>
      <c r="K110" s="9" t="s">
        <v>63</v>
      </c>
      <c r="L110" s="1" t="s">
        <v>668</v>
      </c>
    </row>
    <row r="111" spans="1:12" s="1" customFormat="1" ht="26.45" customHeight="1" x14ac:dyDescent="0.25">
      <c r="C111" s="1" t="str">
        <f>A111&amp;" "&amp;B111</f>
        <v xml:space="preserve"> </v>
      </c>
      <c r="D111" s="1" t="s">
        <v>669</v>
      </c>
      <c r="E111" s="1" t="s">
        <v>670</v>
      </c>
      <c r="F111" s="1" t="s">
        <v>16</v>
      </c>
      <c r="G111" s="1" t="s">
        <v>17</v>
      </c>
      <c r="H111" s="1" t="s">
        <v>485</v>
      </c>
      <c r="I111" s="1" t="s">
        <v>671</v>
      </c>
      <c r="J111" s="1" t="s">
        <v>672</v>
      </c>
      <c r="K111" s="1" t="s">
        <v>63</v>
      </c>
      <c r="L111" s="1" t="s">
        <v>673</v>
      </c>
    </row>
    <row r="112" spans="1:12" s="1" customFormat="1" x14ac:dyDescent="0.25">
      <c r="C112" s="1" t="str">
        <f>A112&amp;" "&amp;B112</f>
        <v xml:space="preserve"> </v>
      </c>
      <c r="D112" s="1" t="s">
        <v>674</v>
      </c>
      <c r="E112" s="1" t="s">
        <v>675</v>
      </c>
      <c r="F112" s="1" t="s">
        <v>16</v>
      </c>
      <c r="G112" s="1" t="s">
        <v>17</v>
      </c>
      <c r="H112" s="1">
        <v>94131</v>
      </c>
      <c r="J112" s="9" t="s">
        <v>676</v>
      </c>
      <c r="K112" s="9" t="s">
        <v>63</v>
      </c>
      <c r="L112" s="1" t="s">
        <v>673</v>
      </c>
    </row>
    <row r="113" spans="1:12" s="1" customFormat="1" ht="26.45" customHeight="1" x14ac:dyDescent="0.2">
      <c r="A113" s="1" t="s">
        <v>677</v>
      </c>
      <c r="B113" s="1" t="s">
        <v>678</v>
      </c>
      <c r="C113" s="1" t="str">
        <f>A113&amp;" "&amp;B113</f>
        <v>Sally Stephens</v>
      </c>
      <c r="D113" s="1" t="s">
        <v>679</v>
      </c>
      <c r="E113" s="1" t="s">
        <v>680</v>
      </c>
      <c r="F113" s="1" t="s">
        <v>16</v>
      </c>
      <c r="G113" s="1" t="s">
        <v>17</v>
      </c>
      <c r="H113" s="1" t="s">
        <v>138</v>
      </c>
      <c r="I113" s="1" t="s">
        <v>681</v>
      </c>
      <c r="J113" s="17" t="s">
        <v>682</v>
      </c>
      <c r="K113" s="17" t="s">
        <v>21</v>
      </c>
      <c r="L113" s="1" t="s">
        <v>683</v>
      </c>
    </row>
    <row r="114" spans="1:12" s="1" customFormat="1" ht="26.45" customHeight="1" x14ac:dyDescent="0.25">
      <c r="A114" s="1" t="s">
        <v>684</v>
      </c>
      <c r="B114" s="1" t="s">
        <v>685</v>
      </c>
      <c r="C114" s="1" t="str">
        <f>A114&amp;" "&amp;B114</f>
        <v>Robert  Bardell</v>
      </c>
      <c r="D114" s="1" t="s">
        <v>686</v>
      </c>
      <c r="E114" s="1" t="s">
        <v>687</v>
      </c>
      <c r="F114" s="1" t="s">
        <v>16</v>
      </c>
      <c r="G114" s="1" t="s">
        <v>17</v>
      </c>
      <c r="H114" s="1" t="s">
        <v>452</v>
      </c>
      <c r="I114" s="1" t="s">
        <v>688</v>
      </c>
      <c r="J114" s="1" t="s">
        <v>689</v>
      </c>
      <c r="K114" s="1" t="s">
        <v>21</v>
      </c>
      <c r="L114" s="1" t="s">
        <v>454</v>
      </c>
    </row>
    <row r="115" spans="1:12" s="1" customFormat="1" x14ac:dyDescent="0.25">
      <c r="A115" s="1" t="s">
        <v>690</v>
      </c>
      <c r="B115" s="1" t="s">
        <v>691</v>
      </c>
      <c r="C115" s="1" t="str">
        <f>A115&amp;" "&amp;B115</f>
        <v>Alec Bash</v>
      </c>
      <c r="D115" s="1" t="s">
        <v>692</v>
      </c>
      <c r="E115" s="1" t="s">
        <v>693</v>
      </c>
      <c r="F115" s="1" t="s">
        <v>16</v>
      </c>
      <c r="G115" s="1" t="s">
        <v>17</v>
      </c>
      <c r="H115" s="1">
        <v>94111</v>
      </c>
      <c r="I115" s="1" t="s">
        <v>694</v>
      </c>
      <c r="J115" s="9" t="s">
        <v>695</v>
      </c>
      <c r="K115" s="9" t="s">
        <v>63</v>
      </c>
      <c r="L115" s="1" t="s">
        <v>154</v>
      </c>
    </row>
    <row r="116" spans="1:12" s="1" customFormat="1" ht="26.45" customHeight="1" x14ac:dyDescent="0.25">
      <c r="C116" s="1" t="s">
        <v>696</v>
      </c>
      <c r="D116" s="1" t="s">
        <v>697</v>
      </c>
      <c r="E116" s="1" t="s">
        <v>698</v>
      </c>
      <c r="F116" s="1" t="s">
        <v>16</v>
      </c>
      <c r="G116" s="1" t="s">
        <v>17</v>
      </c>
      <c r="H116" s="1">
        <v>94121</v>
      </c>
      <c r="I116" s="42" t="s">
        <v>699</v>
      </c>
      <c r="J116" s="43" t="s">
        <v>700</v>
      </c>
      <c r="K116" s="9" t="s">
        <v>63</v>
      </c>
      <c r="L116" s="1" t="s">
        <v>148</v>
      </c>
    </row>
    <row r="117" spans="1:12" s="1" customFormat="1" x14ac:dyDescent="0.25">
      <c r="C117" s="1" t="s">
        <v>701</v>
      </c>
      <c r="D117" s="1" t="s">
        <v>702</v>
      </c>
      <c r="E117" s="1" t="s">
        <v>703</v>
      </c>
      <c r="F117" s="1" t="s">
        <v>16</v>
      </c>
      <c r="G117" s="1" t="s">
        <v>17</v>
      </c>
      <c r="H117" s="1">
        <v>94134</v>
      </c>
      <c r="I117" s="1" t="s">
        <v>704</v>
      </c>
      <c r="J117" s="9" t="s">
        <v>705</v>
      </c>
      <c r="K117" s="9" t="s">
        <v>63</v>
      </c>
      <c r="L117" s="1" t="s">
        <v>123</v>
      </c>
    </row>
    <row r="118" spans="1:12" s="1" customFormat="1" ht="26.45" customHeight="1" x14ac:dyDescent="0.25">
      <c r="C118" s="1" t="s">
        <v>706</v>
      </c>
      <c r="D118" s="1" t="s">
        <v>707</v>
      </c>
      <c r="E118" s="1" t="s">
        <v>708</v>
      </c>
      <c r="F118" s="1" t="s">
        <v>16</v>
      </c>
      <c r="G118" s="1" t="s">
        <v>17</v>
      </c>
      <c r="H118" s="1">
        <v>94132</v>
      </c>
      <c r="I118" s="1" t="s">
        <v>709</v>
      </c>
      <c r="J118" s="9" t="s">
        <v>710</v>
      </c>
      <c r="K118" s="9" t="s">
        <v>63</v>
      </c>
      <c r="L118" s="1" t="s">
        <v>141</v>
      </c>
    </row>
    <row r="119" spans="1:12" s="1" customFormat="1" ht="26.45" customHeight="1" x14ac:dyDescent="0.25">
      <c r="A119" s="1" t="s">
        <v>711</v>
      </c>
      <c r="B119" s="1" t="s">
        <v>712</v>
      </c>
      <c r="C119" s="1" t="str">
        <f>A119&amp;" "&amp;B119</f>
        <v>Bradley Angel</v>
      </c>
      <c r="D119" s="1" t="s">
        <v>713</v>
      </c>
      <c r="E119" s="1" t="s">
        <v>714</v>
      </c>
      <c r="F119" s="1" t="s">
        <v>16</v>
      </c>
      <c r="G119" s="1" t="s">
        <v>17</v>
      </c>
      <c r="H119" s="1">
        <v>94108</v>
      </c>
      <c r="I119" s="1" t="s">
        <v>715</v>
      </c>
      <c r="J119" s="9" t="s">
        <v>716</v>
      </c>
      <c r="K119" s="9" t="s">
        <v>63</v>
      </c>
      <c r="L119" s="1" t="s">
        <v>717</v>
      </c>
    </row>
    <row r="120" spans="1:12" s="1" customFormat="1" ht="26.45" customHeight="1" x14ac:dyDescent="0.25">
      <c r="A120" s="1" t="s">
        <v>718</v>
      </c>
      <c r="B120" s="1" t="s">
        <v>719</v>
      </c>
      <c r="C120" s="1" t="str">
        <f>A120&amp;" "&amp;B120</f>
        <v>Jane Natoli</v>
      </c>
      <c r="D120" s="1" t="s">
        <v>720</v>
      </c>
      <c r="E120" s="1" t="s">
        <v>721</v>
      </c>
      <c r="F120" s="1" t="s">
        <v>16</v>
      </c>
      <c r="G120" s="1" t="s">
        <v>17</v>
      </c>
      <c r="H120" s="1">
        <v>94118</v>
      </c>
      <c r="I120" s="1" t="s">
        <v>722</v>
      </c>
      <c r="J120" s="9" t="s">
        <v>723</v>
      </c>
      <c r="K120" s="9" t="s">
        <v>63</v>
      </c>
      <c r="L120" s="1" t="s">
        <v>724</v>
      </c>
    </row>
    <row r="121" spans="1:12" s="1" customFormat="1" ht="26.45" customHeight="1" x14ac:dyDescent="0.2">
      <c r="A121" s="1" t="s">
        <v>725</v>
      </c>
      <c r="B121" s="1" t="s">
        <v>726</v>
      </c>
      <c r="C121" s="1" t="str">
        <f>A121&amp;" "&amp;B121</f>
        <v>Ted Loewenberg</v>
      </c>
      <c r="D121" s="1" t="s">
        <v>727</v>
      </c>
      <c r="E121" s="1" t="s">
        <v>728</v>
      </c>
      <c r="F121" s="1" t="s">
        <v>16</v>
      </c>
      <c r="G121" s="1" t="s">
        <v>17</v>
      </c>
      <c r="H121" s="1" t="s">
        <v>549</v>
      </c>
      <c r="J121" s="38" t="s">
        <v>729</v>
      </c>
      <c r="K121" s="17" t="s">
        <v>21</v>
      </c>
      <c r="L121" s="1" t="s">
        <v>34</v>
      </c>
    </row>
    <row r="122" spans="1:12" s="1" customFormat="1" ht="26.45" customHeight="1" x14ac:dyDescent="0.25">
      <c r="A122" s="1" t="s">
        <v>730</v>
      </c>
      <c r="B122" s="1" t="s">
        <v>731</v>
      </c>
      <c r="C122" s="1" t="str">
        <f>A122&amp;" "&amp;B122</f>
        <v>Land Use and Housing Chair</v>
      </c>
      <c r="D122" s="1" t="s">
        <v>732</v>
      </c>
      <c r="E122" s="1" t="s">
        <v>733</v>
      </c>
      <c r="F122" s="1" t="s">
        <v>16</v>
      </c>
      <c r="G122" s="1" t="s">
        <v>17</v>
      </c>
      <c r="H122" s="1" t="s">
        <v>549</v>
      </c>
      <c r="J122" s="9" t="s">
        <v>734</v>
      </c>
      <c r="K122" s="9" t="s">
        <v>21</v>
      </c>
      <c r="L122" s="1" t="s">
        <v>735</v>
      </c>
    </row>
    <row r="123" spans="1:12" s="1" customFormat="1" ht="26.45" customHeight="1" x14ac:dyDescent="0.25">
      <c r="A123" s="1" t="s">
        <v>736</v>
      </c>
      <c r="B123" s="1" t="s">
        <v>737</v>
      </c>
      <c r="C123" s="1" t="str">
        <f>A123&amp;" "&amp;B123</f>
        <v>Phillip Kobernick</v>
      </c>
      <c r="D123" s="1" t="s">
        <v>738</v>
      </c>
      <c r="E123" s="1" t="s">
        <v>739</v>
      </c>
      <c r="F123" s="1" t="s">
        <v>16</v>
      </c>
      <c r="G123" s="1" t="s">
        <v>17</v>
      </c>
      <c r="H123" s="1">
        <v>94117</v>
      </c>
      <c r="I123" s="1" t="s">
        <v>740</v>
      </c>
      <c r="J123" s="9" t="s">
        <v>741</v>
      </c>
      <c r="K123" s="9" t="s">
        <v>21</v>
      </c>
      <c r="L123" s="1" t="s">
        <v>34</v>
      </c>
    </row>
    <row r="124" spans="1:12" s="1" customFormat="1" ht="26.45" customHeight="1" x14ac:dyDescent="0.25">
      <c r="C124" s="1" t="s">
        <v>742</v>
      </c>
      <c r="D124" s="1" t="s">
        <v>743</v>
      </c>
      <c r="E124" s="1" t="s">
        <v>744</v>
      </c>
      <c r="F124" s="1" t="s">
        <v>16</v>
      </c>
      <c r="G124" s="1" t="s">
        <v>17</v>
      </c>
      <c r="H124" s="1">
        <v>94117</v>
      </c>
      <c r="I124" s="1" t="s">
        <v>745</v>
      </c>
      <c r="J124" s="9" t="s">
        <v>746</v>
      </c>
      <c r="K124" s="9" t="s">
        <v>63</v>
      </c>
      <c r="L124" s="1" t="s">
        <v>747</v>
      </c>
    </row>
    <row r="125" spans="1:12" s="1" customFormat="1" ht="25.5" x14ac:dyDescent="0.25">
      <c r="A125" s="1" t="s">
        <v>748</v>
      </c>
      <c r="B125" s="1" t="s">
        <v>749</v>
      </c>
      <c r="C125" s="1" t="str">
        <f t="shared" ref="C125:C133" si="5">A125&amp;" "&amp;B125</f>
        <v>Gerald Wolf</v>
      </c>
      <c r="D125" s="1" t="s">
        <v>750</v>
      </c>
      <c r="E125" s="1" t="s">
        <v>751</v>
      </c>
      <c r="F125" s="1" t="s">
        <v>16</v>
      </c>
      <c r="G125" s="1" t="s">
        <v>17</v>
      </c>
      <c r="H125" s="1" t="s">
        <v>103</v>
      </c>
      <c r="I125" s="1" t="s">
        <v>752</v>
      </c>
      <c r="J125" s="1" t="s">
        <v>753</v>
      </c>
      <c r="K125" s="1" t="s">
        <v>21</v>
      </c>
      <c r="L125" s="1" t="s">
        <v>106</v>
      </c>
    </row>
    <row r="126" spans="1:12" s="1" customFormat="1" ht="52.9" customHeight="1" x14ac:dyDescent="0.25">
      <c r="A126" s="1" t="s">
        <v>754</v>
      </c>
      <c r="B126" s="1" t="s">
        <v>755</v>
      </c>
      <c r="C126" s="1" t="str">
        <f t="shared" si="5"/>
        <v>Jennifer Laska</v>
      </c>
      <c r="D126" s="1" t="s">
        <v>756</v>
      </c>
      <c r="E126" s="1" t="s">
        <v>757</v>
      </c>
      <c r="F126" s="1" t="s">
        <v>16</v>
      </c>
      <c r="G126" s="1" t="s">
        <v>17</v>
      </c>
      <c r="H126" s="1" t="s">
        <v>37</v>
      </c>
      <c r="J126" s="1" t="s">
        <v>758</v>
      </c>
      <c r="K126" s="1" t="s">
        <v>63</v>
      </c>
      <c r="L126" s="1" t="s">
        <v>759</v>
      </c>
    </row>
    <row r="127" spans="1:12" s="1" customFormat="1" ht="52.9" customHeight="1" x14ac:dyDescent="0.25">
      <c r="A127" s="1" t="s">
        <v>760</v>
      </c>
      <c r="B127" s="1" t="s">
        <v>761</v>
      </c>
      <c r="C127" s="1" t="str">
        <f t="shared" si="5"/>
        <v>Ramiz Y</v>
      </c>
      <c r="D127" s="1" t="s">
        <v>762</v>
      </c>
      <c r="E127" s="1" t="s">
        <v>763</v>
      </c>
      <c r="F127" s="1" t="s">
        <v>16</v>
      </c>
      <c r="G127" s="1" t="s">
        <v>17</v>
      </c>
      <c r="H127" s="1">
        <v>94102</v>
      </c>
      <c r="J127" s="9" t="s">
        <v>764</v>
      </c>
      <c r="K127" s="9" t="s">
        <v>63</v>
      </c>
      <c r="L127" s="1" t="s">
        <v>759</v>
      </c>
    </row>
    <row r="128" spans="1:12" s="1" customFormat="1" ht="52.9" customHeight="1" x14ac:dyDescent="0.25">
      <c r="A128" s="1" t="s">
        <v>765</v>
      </c>
      <c r="B128" s="1" t="s">
        <v>766</v>
      </c>
      <c r="C128" s="1" t="str">
        <f t="shared" si="5"/>
        <v>Richard Johnson</v>
      </c>
      <c r="D128" s="1" t="s">
        <v>767</v>
      </c>
      <c r="E128" s="1" t="s">
        <v>768</v>
      </c>
      <c r="F128" s="1" t="s">
        <v>16</v>
      </c>
      <c r="G128" s="1" t="s">
        <v>17</v>
      </c>
      <c r="H128" s="1">
        <v>94102</v>
      </c>
      <c r="J128" s="9" t="s">
        <v>769</v>
      </c>
      <c r="K128" s="9" t="s">
        <v>63</v>
      </c>
      <c r="L128" s="1" t="s">
        <v>759</v>
      </c>
    </row>
    <row r="129" spans="1:12" s="1" customFormat="1" ht="52.9" customHeight="1" x14ac:dyDescent="0.25">
      <c r="A129" s="1" t="s">
        <v>770</v>
      </c>
      <c r="B129" s="1" t="s">
        <v>771</v>
      </c>
      <c r="C129" s="1" t="str">
        <f t="shared" si="5"/>
        <v>Ian Lewis</v>
      </c>
      <c r="D129" s="1" t="s">
        <v>772</v>
      </c>
      <c r="E129" s="1" t="s">
        <v>773</v>
      </c>
      <c r="F129" s="1" t="s">
        <v>16</v>
      </c>
      <c r="G129" s="1" t="s">
        <v>17</v>
      </c>
      <c r="H129" s="1" t="s">
        <v>37</v>
      </c>
      <c r="K129" s="9" t="s">
        <v>21</v>
      </c>
      <c r="L129" s="1" t="s">
        <v>774</v>
      </c>
    </row>
    <row r="130" spans="1:12" s="1" customFormat="1" x14ac:dyDescent="0.25">
      <c r="A130" s="1" t="s">
        <v>775</v>
      </c>
      <c r="B130" s="1" t="s">
        <v>776</v>
      </c>
      <c r="C130" s="1" t="str">
        <f t="shared" si="5"/>
        <v>Aron Deorsey</v>
      </c>
      <c r="D130" s="1" t="s">
        <v>777</v>
      </c>
      <c r="E130" s="1" t="s">
        <v>778</v>
      </c>
      <c r="F130" s="1" t="s">
        <v>16</v>
      </c>
      <c r="G130" s="1" t="s">
        <v>17</v>
      </c>
      <c r="H130" s="1">
        <v>94110</v>
      </c>
      <c r="I130" s="1" t="s">
        <v>779</v>
      </c>
      <c r="J130" s="9" t="s">
        <v>780</v>
      </c>
      <c r="K130" s="9" t="s">
        <v>21</v>
      </c>
      <c r="L130" s="1" t="s">
        <v>781</v>
      </c>
    </row>
    <row r="131" spans="1:12" s="1" customFormat="1" ht="52.9" customHeight="1" x14ac:dyDescent="0.25">
      <c r="A131" s="1" t="s">
        <v>782</v>
      </c>
      <c r="B131" s="1" t="s">
        <v>593</v>
      </c>
      <c r="C131" s="1" t="str">
        <f t="shared" si="5"/>
        <v>Antonio Flores</v>
      </c>
      <c r="D131" s="1" t="s">
        <v>783</v>
      </c>
      <c r="E131" s="1" t="s">
        <v>784</v>
      </c>
      <c r="F131" s="1" t="s">
        <v>16</v>
      </c>
      <c r="G131" s="1" t="s">
        <v>17</v>
      </c>
      <c r="H131" s="1">
        <v>94102</v>
      </c>
      <c r="I131" s="1" t="s">
        <v>785</v>
      </c>
      <c r="J131" s="9" t="s">
        <v>786</v>
      </c>
      <c r="K131" s="9" t="s">
        <v>21</v>
      </c>
      <c r="L131" s="1" t="s">
        <v>787</v>
      </c>
    </row>
    <row r="132" spans="1:12" s="1" customFormat="1" ht="66" customHeight="1" x14ac:dyDescent="0.25">
      <c r="A132" s="1" t="s">
        <v>545</v>
      </c>
      <c r="B132" s="1" t="s">
        <v>788</v>
      </c>
      <c r="C132" s="1" t="str">
        <f t="shared" si="5"/>
        <v>Sarah Sherburn-Zimmer</v>
      </c>
      <c r="D132" s="1" t="s">
        <v>789</v>
      </c>
      <c r="E132" s="1" t="s">
        <v>790</v>
      </c>
      <c r="F132" s="1" t="s">
        <v>16</v>
      </c>
      <c r="G132" s="1" t="s">
        <v>17</v>
      </c>
      <c r="H132" s="1">
        <v>94103</v>
      </c>
      <c r="I132" s="1" t="s">
        <v>791</v>
      </c>
      <c r="J132" s="9" t="s">
        <v>792</v>
      </c>
      <c r="K132" s="9" t="s">
        <v>21</v>
      </c>
      <c r="L132" s="1" t="s">
        <v>793</v>
      </c>
    </row>
    <row r="133" spans="1:12" s="1" customFormat="1" ht="26.45" customHeight="1" x14ac:dyDescent="0.2">
      <c r="A133" s="1" t="s">
        <v>92</v>
      </c>
      <c r="B133" s="1" t="s">
        <v>794</v>
      </c>
      <c r="C133" s="1" t="str">
        <f t="shared" si="5"/>
        <v>Michael Hamman</v>
      </c>
      <c r="D133" s="1" t="s">
        <v>795</v>
      </c>
      <c r="E133" s="1" t="s">
        <v>796</v>
      </c>
      <c r="F133" s="1" t="s">
        <v>16</v>
      </c>
      <c r="G133" s="1" t="s">
        <v>17</v>
      </c>
      <c r="H133" s="1" t="s">
        <v>111</v>
      </c>
      <c r="I133" s="1" t="s">
        <v>797</v>
      </c>
      <c r="J133" s="17" t="s">
        <v>798</v>
      </c>
      <c r="K133" s="17" t="s">
        <v>218</v>
      </c>
      <c r="L133" s="1" t="s">
        <v>56</v>
      </c>
    </row>
    <row r="134" spans="1:12" s="1" customFormat="1" ht="26.45" customHeight="1" x14ac:dyDescent="0.25">
      <c r="A134" s="1" t="s">
        <v>799</v>
      </c>
      <c r="B134" s="1" t="s">
        <v>800</v>
      </c>
      <c r="C134" s="1" t="s">
        <v>801</v>
      </c>
      <c r="D134" s="1" t="s">
        <v>802</v>
      </c>
      <c r="E134" s="1" t="s">
        <v>803</v>
      </c>
      <c r="F134" s="1" t="s">
        <v>16</v>
      </c>
      <c r="G134" s="1" t="s">
        <v>17</v>
      </c>
      <c r="H134" s="1" t="s">
        <v>804</v>
      </c>
      <c r="I134" s="1" t="s">
        <v>805</v>
      </c>
      <c r="J134" s="9" t="s">
        <v>806</v>
      </c>
      <c r="K134" s="9" t="s">
        <v>63</v>
      </c>
      <c r="L134" s="1" t="s">
        <v>807</v>
      </c>
    </row>
    <row r="135" spans="1:12" s="1" customFormat="1" x14ac:dyDescent="0.25">
      <c r="A135" s="1" t="s">
        <v>87</v>
      </c>
      <c r="B135" s="1" t="s">
        <v>341</v>
      </c>
      <c r="C135" s="1" t="str">
        <f t="shared" ref="C135:C140" si="6">A135&amp;" "&amp;B135</f>
        <v>Board President</v>
      </c>
      <c r="D135" s="1" t="s">
        <v>808</v>
      </c>
      <c r="E135" s="1" t="s">
        <v>809</v>
      </c>
      <c r="F135" s="1" t="s">
        <v>16</v>
      </c>
      <c r="G135" s="1" t="s">
        <v>17</v>
      </c>
      <c r="H135" s="1" t="s">
        <v>810</v>
      </c>
      <c r="I135" s="1" t="s">
        <v>811</v>
      </c>
      <c r="J135" s="9" t="s">
        <v>812</v>
      </c>
      <c r="K135" s="1" t="s">
        <v>63</v>
      </c>
      <c r="L135" s="1" t="s">
        <v>552</v>
      </c>
    </row>
    <row r="136" spans="1:12" s="1" customFormat="1" ht="26.45" customHeight="1" x14ac:dyDescent="0.25">
      <c r="A136" s="1" t="s">
        <v>813</v>
      </c>
      <c r="B136" s="1" t="s">
        <v>814</v>
      </c>
      <c r="C136" s="1" t="str">
        <f t="shared" si="6"/>
        <v>Cheryl L. Switzer</v>
      </c>
      <c r="D136" s="1" t="s">
        <v>815</v>
      </c>
      <c r="E136" s="1" t="s">
        <v>816</v>
      </c>
      <c r="F136" s="1" t="s">
        <v>16</v>
      </c>
      <c r="G136" s="1" t="s">
        <v>17</v>
      </c>
      <c r="H136" s="1" t="s">
        <v>810</v>
      </c>
      <c r="I136" s="1" t="s">
        <v>817</v>
      </c>
      <c r="K136" s="9" t="s">
        <v>21</v>
      </c>
      <c r="L136" s="1" t="s">
        <v>552</v>
      </c>
    </row>
    <row r="137" spans="1:12" s="1" customFormat="1" ht="26.45" customHeight="1" x14ac:dyDescent="0.25">
      <c r="A137" s="1" t="s">
        <v>818</v>
      </c>
      <c r="B137" s="1" t="s">
        <v>819</v>
      </c>
      <c r="C137" s="1" t="str">
        <f t="shared" si="6"/>
        <v>Maria  Wabl</v>
      </c>
      <c r="D137" s="1" t="s">
        <v>815</v>
      </c>
      <c r="E137" s="1" t="s">
        <v>820</v>
      </c>
      <c r="F137" s="1" t="s">
        <v>16</v>
      </c>
      <c r="G137" s="1" t="s">
        <v>17</v>
      </c>
      <c r="H137" s="1">
        <v>94122</v>
      </c>
      <c r="I137" s="1" t="s">
        <v>821</v>
      </c>
      <c r="J137" s="9" t="s">
        <v>822</v>
      </c>
      <c r="K137" s="9" t="s">
        <v>21</v>
      </c>
      <c r="L137" s="1" t="s">
        <v>552</v>
      </c>
    </row>
    <row r="138" spans="1:12" s="1" customFormat="1" x14ac:dyDescent="0.25">
      <c r="A138" s="1" t="s">
        <v>823</v>
      </c>
      <c r="B138" s="1" t="s">
        <v>824</v>
      </c>
      <c r="C138" s="1" t="str">
        <f t="shared" si="6"/>
        <v>Lawrence Rosenfeld</v>
      </c>
      <c r="D138" s="1" t="s">
        <v>825</v>
      </c>
      <c r="E138" s="1" t="s">
        <v>826</v>
      </c>
      <c r="F138" s="1" t="s">
        <v>16</v>
      </c>
      <c r="G138" s="1" t="s">
        <v>17</v>
      </c>
      <c r="H138" s="1">
        <v>94122</v>
      </c>
      <c r="I138" s="1" t="s">
        <v>827</v>
      </c>
      <c r="J138" s="9" t="s">
        <v>828</v>
      </c>
      <c r="K138" s="9" t="s">
        <v>63</v>
      </c>
      <c r="L138" s="1" t="s">
        <v>552</v>
      </c>
    </row>
    <row r="139" spans="1:12" s="1" customFormat="1" ht="26.45" customHeight="1" x14ac:dyDescent="0.25">
      <c r="A139" s="1" t="s">
        <v>545</v>
      </c>
      <c r="B139" s="1" t="s">
        <v>829</v>
      </c>
      <c r="C139" s="1" t="str">
        <f t="shared" si="6"/>
        <v>Sarah Stocking</v>
      </c>
      <c r="D139" s="1" t="s">
        <v>830</v>
      </c>
      <c r="E139" s="1" t="s">
        <v>831</v>
      </c>
      <c r="F139" s="1" t="s">
        <v>16</v>
      </c>
      <c r="G139" s="1" t="s">
        <v>17</v>
      </c>
      <c r="H139" s="1">
        <v>94111</v>
      </c>
      <c r="I139" s="1" t="s">
        <v>832</v>
      </c>
      <c r="J139" s="9" t="s">
        <v>833</v>
      </c>
      <c r="K139" s="9" t="s">
        <v>21</v>
      </c>
      <c r="L139" s="1" t="s">
        <v>834</v>
      </c>
    </row>
    <row r="140" spans="1:12" s="1" customFormat="1" x14ac:dyDescent="0.25">
      <c r="A140" s="1" t="s">
        <v>835</v>
      </c>
      <c r="B140" s="1" t="s">
        <v>836</v>
      </c>
      <c r="C140" s="1" t="str">
        <f t="shared" si="6"/>
        <v>Grace Horikiri</v>
      </c>
      <c r="D140" s="1" t="s">
        <v>837</v>
      </c>
      <c r="E140" s="1" t="s">
        <v>838</v>
      </c>
      <c r="F140" s="1" t="s">
        <v>16</v>
      </c>
      <c r="G140" s="1" t="s">
        <v>17</v>
      </c>
      <c r="H140" s="1">
        <v>94115</v>
      </c>
      <c r="I140" s="1" t="s">
        <v>839</v>
      </c>
      <c r="J140" s="9" t="s">
        <v>840</v>
      </c>
      <c r="K140" s="9" t="s">
        <v>63</v>
      </c>
      <c r="L140" s="1" t="s">
        <v>28</v>
      </c>
    </row>
    <row r="141" spans="1:12" s="1" customFormat="1" x14ac:dyDescent="0.25">
      <c r="C141" s="1" t="s">
        <v>841</v>
      </c>
      <c r="D141" s="1" t="s">
        <v>842</v>
      </c>
      <c r="E141" s="1" t="s">
        <v>843</v>
      </c>
      <c r="F141" s="1" t="s">
        <v>16</v>
      </c>
      <c r="G141" s="1" t="s">
        <v>17</v>
      </c>
      <c r="H141" s="1">
        <v>94115</v>
      </c>
      <c r="I141" s="1" t="s">
        <v>844</v>
      </c>
      <c r="J141" s="9" t="s">
        <v>845</v>
      </c>
      <c r="K141" s="9" t="s">
        <v>63</v>
      </c>
      <c r="L141" s="1" t="s">
        <v>28</v>
      </c>
    </row>
    <row r="142" spans="1:12" s="1" customFormat="1" ht="26.45" customHeight="1" x14ac:dyDescent="0.25">
      <c r="A142" s="1" t="s">
        <v>765</v>
      </c>
      <c r="B142" s="1" t="s">
        <v>846</v>
      </c>
      <c r="C142" s="1" t="str">
        <f>A142&amp;" "&amp;B142</f>
        <v>Richard Hashimoto</v>
      </c>
      <c r="D142" s="1" t="s">
        <v>847</v>
      </c>
      <c r="E142" s="1" t="s">
        <v>848</v>
      </c>
      <c r="F142" s="1" t="s">
        <v>16</v>
      </c>
      <c r="G142" s="1" t="s">
        <v>17</v>
      </c>
      <c r="H142" s="1" t="s">
        <v>849</v>
      </c>
      <c r="I142" s="1" t="s">
        <v>850</v>
      </c>
      <c r="J142" s="9" t="s">
        <v>851</v>
      </c>
      <c r="K142" s="1" t="s">
        <v>63</v>
      </c>
      <c r="L142" s="1" t="s">
        <v>28</v>
      </c>
    </row>
    <row r="143" spans="1:12" s="1" customFormat="1" ht="13.9" customHeight="1" x14ac:dyDescent="0.25">
      <c r="C143" s="1" t="s">
        <v>852</v>
      </c>
      <c r="D143" s="1" t="s">
        <v>853</v>
      </c>
      <c r="E143" s="1" t="s">
        <v>843</v>
      </c>
      <c r="F143" s="1" t="s">
        <v>16</v>
      </c>
      <c r="G143" s="1" t="s">
        <v>17</v>
      </c>
      <c r="H143" s="1">
        <v>94115</v>
      </c>
      <c r="I143" s="1" t="s">
        <v>854</v>
      </c>
      <c r="J143" s="45" t="s">
        <v>855</v>
      </c>
      <c r="K143" s="1" t="s">
        <v>63</v>
      </c>
      <c r="L143" s="1" t="s">
        <v>28</v>
      </c>
    </row>
    <row r="144" spans="1:12" s="1" customFormat="1" ht="39.6" customHeight="1" x14ac:dyDescent="0.2">
      <c r="A144" s="1" t="s">
        <v>856</v>
      </c>
      <c r="B144" s="1" t="s">
        <v>857</v>
      </c>
      <c r="C144" s="1" t="str">
        <f>A144&amp;" "&amp;B144</f>
        <v>Rose Hillson</v>
      </c>
      <c r="D144" s="1" t="s">
        <v>858</v>
      </c>
      <c r="E144" s="1" t="s">
        <v>859</v>
      </c>
      <c r="F144" s="1" t="s">
        <v>16</v>
      </c>
      <c r="G144" s="1" t="s">
        <v>17</v>
      </c>
      <c r="H144" s="1" t="s">
        <v>860</v>
      </c>
      <c r="J144" s="17"/>
      <c r="K144" s="17" t="s">
        <v>21</v>
      </c>
      <c r="L144" s="1" t="s">
        <v>861</v>
      </c>
    </row>
    <row r="145" spans="1:12" s="1" customFormat="1" ht="14.45" customHeight="1" x14ac:dyDescent="0.25">
      <c r="C145" s="1" t="s">
        <v>862</v>
      </c>
      <c r="D145" s="1" t="s">
        <v>863</v>
      </c>
      <c r="E145" s="1" t="s">
        <v>864</v>
      </c>
      <c r="F145" s="1" t="s">
        <v>16</v>
      </c>
      <c r="G145" s="1" t="s">
        <v>17</v>
      </c>
      <c r="H145" s="1">
        <v>94107</v>
      </c>
      <c r="I145" s="1" t="s">
        <v>865</v>
      </c>
      <c r="J145" s="41" t="s">
        <v>866</v>
      </c>
      <c r="K145" s="17" t="s">
        <v>63</v>
      </c>
      <c r="L145" s="1" t="s">
        <v>558</v>
      </c>
    </row>
    <row r="146" spans="1:12" s="1" customFormat="1" ht="45.75" customHeight="1" x14ac:dyDescent="0.2">
      <c r="C146" s="1" t="s">
        <v>1850</v>
      </c>
      <c r="D146" s="1" t="s">
        <v>1851</v>
      </c>
      <c r="F146" s="1" t="s">
        <v>16</v>
      </c>
      <c r="G146" s="1" t="s">
        <v>17</v>
      </c>
      <c r="H146" s="1">
        <v>94112</v>
      </c>
      <c r="I146" s="1" t="s">
        <v>1852</v>
      </c>
      <c r="J146" s="66" t="s">
        <v>1853</v>
      </c>
      <c r="K146" s="17" t="s">
        <v>63</v>
      </c>
      <c r="L146" s="1" t="s">
        <v>1854</v>
      </c>
    </row>
    <row r="147" spans="1:12" s="1" customFormat="1" ht="26.45" customHeight="1" x14ac:dyDescent="0.25">
      <c r="A147" s="1" t="s">
        <v>867</v>
      </c>
      <c r="B147" s="1" t="s">
        <v>868</v>
      </c>
      <c r="C147" s="1" t="str">
        <f t="shared" ref="C147:C153" si="7">A147&amp;" "&amp;B147</f>
        <v>April Asai</v>
      </c>
      <c r="D147" s="1" t="s">
        <v>869</v>
      </c>
      <c r="E147" s="1" t="s">
        <v>870</v>
      </c>
      <c r="F147" s="1" t="s">
        <v>16</v>
      </c>
      <c r="G147" s="1" t="s">
        <v>17</v>
      </c>
      <c r="H147" s="1">
        <v>94131</v>
      </c>
      <c r="I147" s="1" t="s">
        <v>871</v>
      </c>
      <c r="J147" s="39" t="s">
        <v>872</v>
      </c>
      <c r="K147" s="21" t="s">
        <v>63</v>
      </c>
      <c r="L147" s="1" t="s">
        <v>49</v>
      </c>
    </row>
    <row r="148" spans="1:12" s="1" customFormat="1" x14ac:dyDescent="0.25">
      <c r="A148" s="1" t="s">
        <v>873</v>
      </c>
      <c r="B148" s="1" t="s">
        <v>874</v>
      </c>
      <c r="C148" s="1" t="str">
        <f t="shared" si="7"/>
        <v>Brian Welch</v>
      </c>
      <c r="D148" s="1" t="s">
        <v>875</v>
      </c>
      <c r="E148" s="1" t="s">
        <v>876</v>
      </c>
      <c r="F148" s="1" t="s">
        <v>16</v>
      </c>
      <c r="G148" s="1" t="s">
        <v>17</v>
      </c>
      <c r="H148" s="1">
        <v>94131</v>
      </c>
      <c r="I148" s="1" t="s">
        <v>877</v>
      </c>
      <c r="J148" s="39" t="s">
        <v>878</v>
      </c>
      <c r="K148" s="21" t="s">
        <v>21</v>
      </c>
      <c r="L148" s="1" t="s">
        <v>49</v>
      </c>
    </row>
    <row r="149" spans="1:12" s="1" customFormat="1" x14ac:dyDescent="0.2">
      <c r="A149" s="1" t="s">
        <v>879</v>
      </c>
      <c r="B149" s="1" t="s">
        <v>880</v>
      </c>
      <c r="C149" s="1" t="str">
        <f t="shared" si="7"/>
        <v>Bill Chionsini</v>
      </c>
      <c r="D149" s="1" t="s">
        <v>881</v>
      </c>
      <c r="E149" s="1" t="s">
        <v>882</v>
      </c>
      <c r="F149" s="1" t="s">
        <v>16</v>
      </c>
      <c r="G149" s="1" t="s">
        <v>17</v>
      </c>
      <c r="H149" s="1" t="s">
        <v>883</v>
      </c>
      <c r="I149" s="1" t="s">
        <v>884</v>
      </c>
      <c r="J149" s="38" t="s">
        <v>885</v>
      </c>
      <c r="K149" s="9" t="s">
        <v>21</v>
      </c>
      <c r="L149" s="1" t="s">
        <v>886</v>
      </c>
    </row>
    <row r="150" spans="1:12" s="1" customFormat="1" ht="25.5" x14ac:dyDescent="0.2">
      <c r="A150" s="1" t="s">
        <v>360</v>
      </c>
      <c r="C150" s="1" t="str">
        <f t="shared" si="7"/>
        <v xml:space="preserve">  </v>
      </c>
      <c r="D150" s="1" t="s">
        <v>887</v>
      </c>
      <c r="E150" s="1" t="s">
        <v>888</v>
      </c>
      <c r="F150" s="1" t="s">
        <v>16</v>
      </c>
      <c r="G150" s="1" t="s">
        <v>17</v>
      </c>
      <c r="H150" s="1" t="s">
        <v>138</v>
      </c>
      <c r="I150" s="1" t="s">
        <v>889</v>
      </c>
      <c r="J150" s="15" t="s">
        <v>890</v>
      </c>
      <c r="K150" s="9" t="s">
        <v>21</v>
      </c>
      <c r="L150" s="1" t="s">
        <v>886</v>
      </c>
    </row>
    <row r="151" spans="1:12" s="1" customFormat="1" ht="26.45" customHeight="1" x14ac:dyDescent="0.2">
      <c r="A151" s="1" t="s">
        <v>891</v>
      </c>
      <c r="B151" s="1" t="s">
        <v>892</v>
      </c>
      <c r="C151" s="1" t="str">
        <f t="shared" si="7"/>
        <v>Kathryn Devincenzi</v>
      </c>
      <c r="D151" s="1" t="s">
        <v>893</v>
      </c>
      <c r="E151" s="1" t="s">
        <v>894</v>
      </c>
      <c r="F151" s="1" t="s">
        <v>16</v>
      </c>
      <c r="G151" s="1" t="s">
        <v>17</v>
      </c>
      <c r="H151" s="1">
        <v>94118</v>
      </c>
      <c r="I151" s="1" t="s">
        <v>895</v>
      </c>
      <c r="J151" s="15" t="s">
        <v>896</v>
      </c>
      <c r="K151" s="15" t="s">
        <v>21</v>
      </c>
      <c r="L151" s="1" t="s">
        <v>897</v>
      </c>
    </row>
    <row r="152" spans="1:12" s="1" customFormat="1" x14ac:dyDescent="0.2">
      <c r="A152" s="1" t="s">
        <v>898</v>
      </c>
      <c r="B152" s="1" t="s">
        <v>165</v>
      </c>
      <c r="C152" s="1" t="str">
        <f t="shared" si="7"/>
        <v>Stephen Williams</v>
      </c>
      <c r="D152" s="1" t="s">
        <v>899</v>
      </c>
      <c r="E152" s="1" t="s">
        <v>900</v>
      </c>
      <c r="F152" s="1" t="s">
        <v>16</v>
      </c>
      <c r="G152" s="1" t="s">
        <v>17</v>
      </c>
      <c r="H152" s="1" t="s">
        <v>849</v>
      </c>
      <c r="I152" s="1" t="s">
        <v>901</v>
      </c>
      <c r="J152" s="17" t="s">
        <v>902</v>
      </c>
      <c r="K152" s="17" t="s">
        <v>21</v>
      </c>
      <c r="L152" s="1" t="s">
        <v>22</v>
      </c>
    </row>
    <row r="153" spans="1:12" s="1" customFormat="1" ht="52.9" customHeight="1" x14ac:dyDescent="0.2">
      <c r="A153" s="1" t="s">
        <v>903</v>
      </c>
      <c r="B153" s="1" t="s">
        <v>904</v>
      </c>
      <c r="C153" s="1" t="str">
        <f t="shared" si="7"/>
        <v>Paul Dally</v>
      </c>
      <c r="D153" s="1" t="s">
        <v>905</v>
      </c>
      <c r="E153" s="1" t="s">
        <v>906</v>
      </c>
      <c r="F153" s="1" t="s">
        <v>16</v>
      </c>
      <c r="G153" s="1" t="s">
        <v>17</v>
      </c>
      <c r="H153" s="1">
        <v>94114</v>
      </c>
      <c r="I153" s="1" t="s">
        <v>907</v>
      </c>
      <c r="J153" s="15" t="s">
        <v>908</v>
      </c>
      <c r="K153" s="15" t="s">
        <v>63</v>
      </c>
      <c r="L153" s="1" t="s">
        <v>106</v>
      </c>
    </row>
    <row r="154" spans="1:12" s="1" customFormat="1" ht="92.45" customHeight="1" x14ac:dyDescent="0.2">
      <c r="C154" s="1" t="s">
        <v>909</v>
      </c>
      <c r="D154" s="1" t="s">
        <v>910</v>
      </c>
      <c r="E154" s="1" t="s">
        <v>911</v>
      </c>
      <c r="F154" s="1" t="s">
        <v>16</v>
      </c>
      <c r="G154" s="1" t="s">
        <v>17</v>
      </c>
      <c r="H154" s="1">
        <v>94110</v>
      </c>
      <c r="I154" s="1" t="s">
        <v>912</v>
      </c>
      <c r="J154" s="15" t="s">
        <v>913</v>
      </c>
      <c r="K154" s="15" t="s">
        <v>63</v>
      </c>
      <c r="L154" s="1" t="s">
        <v>914</v>
      </c>
    </row>
    <row r="155" spans="1:12" s="1" customFormat="1" x14ac:dyDescent="0.2">
      <c r="A155" s="1" t="s">
        <v>281</v>
      </c>
      <c r="B155" s="1" t="s">
        <v>915</v>
      </c>
      <c r="C155" s="1" t="str">
        <f>A155&amp;" "&amp;B155</f>
        <v>John Barbey</v>
      </c>
      <c r="D155" s="1" t="s">
        <v>916</v>
      </c>
      <c r="E155" s="1" t="s">
        <v>917</v>
      </c>
      <c r="F155" s="1" t="s">
        <v>16</v>
      </c>
      <c r="G155" s="1" t="s">
        <v>17</v>
      </c>
      <c r="H155" s="1" t="s">
        <v>186</v>
      </c>
      <c r="I155" s="1" t="s">
        <v>918</v>
      </c>
      <c r="J155" s="17" t="s">
        <v>919</v>
      </c>
      <c r="K155" s="9" t="s">
        <v>21</v>
      </c>
      <c r="L155" s="1" t="s">
        <v>64</v>
      </c>
    </row>
    <row r="156" spans="1:12" s="1" customFormat="1" ht="26.45" customHeight="1" x14ac:dyDescent="0.2">
      <c r="A156" s="1" t="s">
        <v>920</v>
      </c>
      <c r="B156" s="1" t="s">
        <v>921</v>
      </c>
      <c r="C156" s="1" t="str">
        <f>A156&amp;" "&amp;B156</f>
        <v>Dr. Elizabeth Fromer</v>
      </c>
      <c r="D156" s="1" t="s">
        <v>922</v>
      </c>
      <c r="E156" s="1" t="s">
        <v>923</v>
      </c>
      <c r="F156" s="1" t="s">
        <v>16</v>
      </c>
      <c r="G156" s="1" t="s">
        <v>17</v>
      </c>
      <c r="H156" s="1">
        <v>94110</v>
      </c>
      <c r="I156" s="1" t="s">
        <v>924</v>
      </c>
      <c r="J156" s="15" t="s">
        <v>925</v>
      </c>
      <c r="K156" s="15" t="s">
        <v>21</v>
      </c>
      <c r="L156" s="1" t="s">
        <v>64</v>
      </c>
    </row>
    <row r="157" spans="1:12" s="1" customFormat="1" ht="26.45" customHeight="1" x14ac:dyDescent="0.2">
      <c r="C157" s="1" t="s">
        <v>926</v>
      </c>
      <c r="D157" s="1" t="s">
        <v>927</v>
      </c>
      <c r="E157" s="1" t="s">
        <v>928</v>
      </c>
      <c r="F157" s="1" t="s">
        <v>16</v>
      </c>
      <c r="G157" s="1" t="s">
        <v>17</v>
      </c>
      <c r="H157" s="1">
        <v>94104</v>
      </c>
      <c r="I157" s="1" t="s">
        <v>929</v>
      </c>
      <c r="J157" s="15" t="s">
        <v>930</v>
      </c>
      <c r="K157" s="15" t="s">
        <v>63</v>
      </c>
      <c r="L157" s="1" t="s">
        <v>148</v>
      </c>
    </row>
    <row r="158" spans="1:12" s="1" customFormat="1" ht="25.5" x14ac:dyDescent="0.2">
      <c r="A158" s="1" t="s">
        <v>931</v>
      </c>
      <c r="B158" s="1" t="s">
        <v>932</v>
      </c>
      <c r="C158" s="1" t="str">
        <f t="shared" ref="C158:C164" si="8">A158&amp;" "&amp;B158</f>
        <v>Norman Kondy</v>
      </c>
      <c r="D158" s="1" t="s">
        <v>933</v>
      </c>
      <c r="E158" s="1" t="s">
        <v>934</v>
      </c>
      <c r="F158" s="1" t="s">
        <v>16</v>
      </c>
      <c r="G158" s="1" t="s">
        <v>17</v>
      </c>
      <c r="H158" s="1" t="s">
        <v>935</v>
      </c>
      <c r="I158" s="1" t="s">
        <v>936</v>
      </c>
      <c r="J158" s="17" t="s">
        <v>937</v>
      </c>
      <c r="K158" s="17" t="s">
        <v>21</v>
      </c>
      <c r="L158" s="1" t="s">
        <v>938</v>
      </c>
    </row>
    <row r="159" spans="1:12" s="1" customFormat="1" x14ac:dyDescent="0.25">
      <c r="A159" s="1" t="s">
        <v>939</v>
      </c>
      <c r="B159" s="1" t="s">
        <v>940</v>
      </c>
      <c r="C159" s="1" t="str">
        <f t="shared" si="8"/>
        <v>Kaye Griffin</v>
      </c>
      <c r="D159" s="1" t="s">
        <v>941</v>
      </c>
      <c r="E159" s="1" t="s">
        <v>942</v>
      </c>
      <c r="F159" s="1" t="s">
        <v>16</v>
      </c>
      <c r="G159" s="1" t="s">
        <v>17</v>
      </c>
      <c r="H159" s="1" t="s">
        <v>103</v>
      </c>
      <c r="I159" s="1" t="s">
        <v>943</v>
      </c>
      <c r="J159" s="1" t="s">
        <v>944</v>
      </c>
      <c r="K159" s="9" t="s">
        <v>21</v>
      </c>
      <c r="L159" s="1" t="s">
        <v>106</v>
      </c>
    </row>
    <row r="160" spans="1:12" s="1" customFormat="1" x14ac:dyDescent="0.25">
      <c r="A160" s="1" t="s">
        <v>945</v>
      </c>
      <c r="B160" s="1" t="s">
        <v>946</v>
      </c>
      <c r="C160" s="1" t="str">
        <f t="shared" si="8"/>
        <v>Arthur Albrecht</v>
      </c>
      <c r="D160" s="1" t="s">
        <v>947</v>
      </c>
      <c r="E160" s="1" t="s">
        <v>948</v>
      </c>
      <c r="F160" s="1" t="s">
        <v>16</v>
      </c>
      <c r="G160" s="1" t="s">
        <v>17</v>
      </c>
      <c r="H160" s="1" t="s">
        <v>949</v>
      </c>
      <c r="I160" s="1" t="s">
        <v>950</v>
      </c>
      <c r="J160" s="1" t="s">
        <v>951</v>
      </c>
      <c r="K160" s="9" t="s">
        <v>21</v>
      </c>
      <c r="L160" s="1" t="s">
        <v>952</v>
      </c>
    </row>
    <row r="161" spans="1:12" s="1" customFormat="1" ht="26.45" customHeight="1" x14ac:dyDescent="0.2">
      <c r="A161" s="1" t="s">
        <v>953</v>
      </c>
      <c r="B161" s="1" t="s">
        <v>954</v>
      </c>
      <c r="C161" s="1" t="str">
        <f t="shared" si="8"/>
        <v>Natalie Burdick</v>
      </c>
      <c r="D161" s="1" t="s">
        <v>955</v>
      </c>
      <c r="E161" s="1" t="s">
        <v>956</v>
      </c>
      <c r="F161" s="1" t="s">
        <v>16</v>
      </c>
      <c r="G161" s="1" t="s">
        <v>17</v>
      </c>
      <c r="H161" s="1">
        <v>94102</v>
      </c>
      <c r="I161" s="1" t="s">
        <v>957</v>
      </c>
      <c r="J161" s="15" t="s">
        <v>958</v>
      </c>
      <c r="K161" s="15" t="s">
        <v>63</v>
      </c>
      <c r="L161" s="1" t="s">
        <v>28</v>
      </c>
    </row>
    <row r="162" spans="1:12" s="1" customFormat="1" ht="26.45" customHeight="1" x14ac:dyDescent="0.2">
      <c r="A162" s="1" t="s">
        <v>823</v>
      </c>
      <c r="B162" s="1" t="s">
        <v>959</v>
      </c>
      <c r="C162" s="1" t="str">
        <f t="shared" si="8"/>
        <v xml:space="preserve">Lawrence Li </v>
      </c>
      <c r="D162" s="1" t="s">
        <v>955</v>
      </c>
      <c r="E162" s="1" t="s">
        <v>960</v>
      </c>
      <c r="F162" s="1" t="s">
        <v>16</v>
      </c>
      <c r="G162" s="1" t="s">
        <v>17</v>
      </c>
      <c r="H162" s="1">
        <v>94117</v>
      </c>
      <c r="I162" s="1" t="s">
        <v>961</v>
      </c>
      <c r="J162" s="15" t="s">
        <v>962</v>
      </c>
      <c r="K162" s="15" t="s">
        <v>63</v>
      </c>
      <c r="L162" s="1" t="s">
        <v>28</v>
      </c>
    </row>
    <row r="163" spans="1:12" s="1" customFormat="1" ht="26.45" customHeight="1" x14ac:dyDescent="0.2">
      <c r="A163" s="1" t="s">
        <v>963</v>
      </c>
      <c r="B163" s="1" t="s">
        <v>964</v>
      </c>
      <c r="C163" s="1" t="str">
        <f t="shared" si="8"/>
        <v>David Villa-Lobos</v>
      </c>
      <c r="D163" s="1" t="s">
        <v>965</v>
      </c>
      <c r="E163" s="1" t="s">
        <v>966</v>
      </c>
      <c r="F163" s="1" t="s">
        <v>16</v>
      </c>
      <c r="G163" s="1" t="s">
        <v>17</v>
      </c>
      <c r="H163" s="1">
        <v>94164</v>
      </c>
      <c r="I163" s="1" t="s">
        <v>967</v>
      </c>
      <c r="J163" s="15" t="s">
        <v>968</v>
      </c>
      <c r="K163" s="15" t="s">
        <v>63</v>
      </c>
      <c r="L163" s="1" t="s">
        <v>501</v>
      </c>
    </row>
    <row r="164" spans="1:12" s="1" customFormat="1" x14ac:dyDescent="0.2">
      <c r="A164" s="1" t="s">
        <v>969</v>
      </c>
      <c r="B164" s="1" t="s">
        <v>970</v>
      </c>
      <c r="C164" s="1" t="str">
        <f t="shared" si="8"/>
        <v>Andrew Dunbar</v>
      </c>
      <c r="D164" s="1" t="s">
        <v>971</v>
      </c>
      <c r="E164" s="1" t="s">
        <v>972</v>
      </c>
      <c r="F164" s="1" t="s">
        <v>16</v>
      </c>
      <c r="G164" s="1" t="s">
        <v>17</v>
      </c>
      <c r="H164" s="1">
        <v>94109</v>
      </c>
      <c r="J164" s="15" t="s">
        <v>973</v>
      </c>
      <c r="K164" s="17" t="s">
        <v>63</v>
      </c>
      <c r="L164" s="1" t="s">
        <v>974</v>
      </c>
    </row>
    <row r="165" spans="1:12" s="1" customFormat="1" x14ac:dyDescent="0.2">
      <c r="C165" s="1" t="s">
        <v>975</v>
      </c>
      <c r="D165" s="1" t="s">
        <v>976</v>
      </c>
      <c r="E165" s="1" t="s">
        <v>977</v>
      </c>
      <c r="F165" s="1" t="s">
        <v>16</v>
      </c>
      <c r="G165" s="1" t="s">
        <v>17</v>
      </c>
      <c r="H165" s="1">
        <v>94109</v>
      </c>
      <c r="I165" s="1" t="s">
        <v>978</v>
      </c>
      <c r="J165" s="54" t="s">
        <v>979</v>
      </c>
      <c r="K165" s="17" t="s">
        <v>63</v>
      </c>
      <c r="L165" s="1" t="s">
        <v>974</v>
      </c>
    </row>
    <row r="166" spans="1:12" s="1" customFormat="1" ht="26.45" customHeight="1" x14ac:dyDescent="0.25">
      <c r="A166" s="1" t="s">
        <v>980</v>
      </c>
      <c r="B166" s="1" t="s">
        <v>981</v>
      </c>
      <c r="C166" s="1" t="str">
        <f t="shared" ref="C166:C176" si="9">A166&amp;" "&amp;B166</f>
        <v>Patricia Vaughey</v>
      </c>
      <c r="D166" s="1" t="s">
        <v>982</v>
      </c>
      <c r="E166" s="1" t="s">
        <v>983</v>
      </c>
      <c r="F166" s="1" t="s">
        <v>16</v>
      </c>
      <c r="G166" s="1" t="s">
        <v>17</v>
      </c>
      <c r="H166" s="1" t="s">
        <v>452</v>
      </c>
      <c r="I166" s="1" t="s">
        <v>984</v>
      </c>
      <c r="K166" s="9" t="s">
        <v>21</v>
      </c>
      <c r="L166" s="1" t="s">
        <v>985</v>
      </c>
    </row>
    <row r="167" spans="1:12" s="1" customFormat="1" ht="26.45" customHeight="1" x14ac:dyDescent="0.2">
      <c r="A167" s="1" t="s">
        <v>986</v>
      </c>
      <c r="B167" s="1" t="s">
        <v>987</v>
      </c>
      <c r="C167" s="1" t="str">
        <f t="shared" si="9"/>
        <v>Neighborhood Planning Committee</v>
      </c>
      <c r="D167" s="1" t="s">
        <v>988</v>
      </c>
      <c r="E167" s="1" t="s">
        <v>989</v>
      </c>
      <c r="F167" s="1" t="s">
        <v>16</v>
      </c>
      <c r="G167" s="1" t="s">
        <v>17</v>
      </c>
      <c r="H167" s="1">
        <v>94123</v>
      </c>
      <c r="J167" s="38" t="s">
        <v>990</v>
      </c>
      <c r="K167" s="9" t="s">
        <v>63</v>
      </c>
      <c r="L167" s="1" t="s">
        <v>991</v>
      </c>
    </row>
    <row r="168" spans="1:12" s="1" customFormat="1" ht="26.45" customHeight="1" x14ac:dyDescent="0.25">
      <c r="A168" s="1" t="s">
        <v>992</v>
      </c>
      <c r="B168" s="1" t="s">
        <v>993</v>
      </c>
      <c r="C168" s="1" t="str">
        <f t="shared" si="9"/>
        <v>Carolyn Diamond</v>
      </c>
      <c r="D168" s="1" t="s">
        <v>994</v>
      </c>
      <c r="E168" s="1" t="s">
        <v>995</v>
      </c>
      <c r="F168" s="1" t="s">
        <v>16</v>
      </c>
      <c r="G168" s="1" t="s">
        <v>17</v>
      </c>
      <c r="H168" s="1" t="s">
        <v>37</v>
      </c>
      <c r="I168" s="1" t="s">
        <v>996</v>
      </c>
      <c r="J168" s="9" t="s">
        <v>997</v>
      </c>
      <c r="K168" s="9" t="s">
        <v>21</v>
      </c>
      <c r="L168" s="1" t="s">
        <v>106</v>
      </c>
    </row>
    <row r="169" spans="1:12" s="1" customFormat="1" ht="26.45" customHeight="1" x14ac:dyDescent="0.25">
      <c r="A169" s="1" t="s">
        <v>998</v>
      </c>
      <c r="B169" s="1" t="s">
        <v>999</v>
      </c>
      <c r="C169" s="1" t="str">
        <f t="shared" si="9"/>
        <v>Kasey Rios Asberry</v>
      </c>
      <c r="D169" s="1" t="s">
        <v>1000</v>
      </c>
      <c r="E169" s="1" t="s">
        <v>1001</v>
      </c>
      <c r="F169" s="1" t="s">
        <v>16</v>
      </c>
      <c r="G169" s="1" t="s">
        <v>17</v>
      </c>
      <c r="H169" s="1">
        <v>94102</v>
      </c>
      <c r="I169" s="1" t="s">
        <v>1002</v>
      </c>
      <c r="J169" s="9" t="s">
        <v>1003</v>
      </c>
      <c r="K169" s="9" t="s">
        <v>21</v>
      </c>
      <c r="L169" s="1" t="s">
        <v>435</v>
      </c>
    </row>
    <row r="170" spans="1:12" s="1" customFormat="1" ht="26.45" customHeight="1" x14ac:dyDescent="0.2">
      <c r="A170" s="1" t="s">
        <v>725</v>
      </c>
      <c r="B170" s="1" t="s">
        <v>1004</v>
      </c>
      <c r="C170" s="1" t="str">
        <f t="shared" si="9"/>
        <v>Ted Olsson</v>
      </c>
      <c r="D170" s="1" t="s">
        <v>1005</v>
      </c>
      <c r="E170" s="1" t="s">
        <v>1006</v>
      </c>
      <c r="F170" s="1" t="s">
        <v>16</v>
      </c>
      <c r="G170" s="1" t="s">
        <v>17</v>
      </c>
      <c r="H170" s="1" t="s">
        <v>1007</v>
      </c>
      <c r="I170" s="1" t="s">
        <v>1008</v>
      </c>
      <c r="J170" s="15" t="s">
        <v>1009</v>
      </c>
      <c r="K170" s="9" t="s">
        <v>21</v>
      </c>
      <c r="L170" s="1" t="s">
        <v>1010</v>
      </c>
    </row>
    <row r="171" spans="1:12" s="1" customFormat="1" ht="26.45" customHeight="1" x14ac:dyDescent="0.2">
      <c r="A171" s="1" t="s">
        <v>799</v>
      </c>
      <c r="B171" s="1" t="s">
        <v>1011</v>
      </c>
      <c r="C171" s="1" t="str">
        <f t="shared" si="9"/>
        <v>Mark Moreno</v>
      </c>
      <c r="D171" s="1" t="s">
        <v>1012</v>
      </c>
      <c r="E171" s="1" t="s">
        <v>1013</v>
      </c>
      <c r="F171" s="1" t="s">
        <v>16</v>
      </c>
      <c r="G171" s="1" t="s">
        <v>17</v>
      </c>
      <c r="H171" s="1">
        <v>94102</v>
      </c>
      <c r="I171" s="1" t="s">
        <v>1014</v>
      </c>
      <c r="J171" s="15" t="s">
        <v>1015</v>
      </c>
      <c r="K171" s="9" t="s">
        <v>21</v>
      </c>
      <c r="L171" s="1" t="s">
        <v>1016</v>
      </c>
    </row>
    <row r="172" spans="1:12" s="1" customFormat="1" x14ac:dyDescent="0.2">
      <c r="A172" s="1" t="s">
        <v>1017</v>
      </c>
      <c r="B172" s="1" t="s">
        <v>1018</v>
      </c>
      <c r="C172" s="1" t="str">
        <f t="shared" si="9"/>
        <v>Eve  Plasse</v>
      </c>
      <c r="D172" s="1" t="s">
        <v>1019</v>
      </c>
      <c r="E172" s="1" t="s">
        <v>1020</v>
      </c>
      <c r="F172" s="1" t="s">
        <v>16</v>
      </c>
      <c r="G172" s="1" t="s">
        <v>17</v>
      </c>
      <c r="H172" s="1">
        <v>94109</v>
      </c>
      <c r="I172" s="1" t="s">
        <v>1021</v>
      </c>
      <c r="J172" s="15" t="s">
        <v>1022</v>
      </c>
      <c r="K172" s="9" t="s">
        <v>21</v>
      </c>
      <c r="L172" s="1" t="s">
        <v>378</v>
      </c>
    </row>
    <row r="173" spans="1:12" s="1" customFormat="1" ht="26.45" customHeight="1" x14ac:dyDescent="0.25">
      <c r="A173" s="1" t="s">
        <v>1023</v>
      </c>
      <c r="B173" s="1" t="s">
        <v>1024</v>
      </c>
      <c r="C173" s="1" t="str">
        <f t="shared" si="9"/>
        <v>Marc Christensen</v>
      </c>
      <c r="D173" s="1" t="s">
        <v>1025</v>
      </c>
      <c r="E173" s="1" t="s">
        <v>1026</v>
      </c>
      <c r="F173" s="1" t="s">
        <v>16</v>
      </c>
      <c r="G173" s="1" t="s">
        <v>17</v>
      </c>
      <c r="H173" s="1" t="s">
        <v>1027</v>
      </c>
      <c r="I173" s="1" t="s">
        <v>1028</v>
      </c>
      <c r="J173" s="1" t="s">
        <v>1029</v>
      </c>
      <c r="K173" s="1" t="s">
        <v>21</v>
      </c>
      <c r="L173" s="1" t="s">
        <v>1030</v>
      </c>
    </row>
    <row r="174" spans="1:12" s="1" customFormat="1" x14ac:dyDescent="0.25">
      <c r="A174" s="1" t="s">
        <v>320</v>
      </c>
      <c r="B174" s="1" t="s">
        <v>321</v>
      </c>
      <c r="C174" s="1" t="str">
        <f t="shared" si="9"/>
        <v>Nikolas Blanchet</v>
      </c>
      <c r="D174" s="1" t="s">
        <v>322</v>
      </c>
      <c r="E174" s="1" t="s">
        <v>323</v>
      </c>
      <c r="F174" s="1" t="s">
        <v>16</v>
      </c>
      <c r="G174" s="1" t="s">
        <v>17</v>
      </c>
      <c r="H174" s="1" t="s">
        <v>312</v>
      </c>
      <c r="I174" s="1" t="s">
        <v>324</v>
      </c>
      <c r="J174" s="9" t="s">
        <v>325</v>
      </c>
      <c r="K174" s="1" t="s">
        <v>63</v>
      </c>
      <c r="L174" s="1" t="s">
        <v>280</v>
      </c>
    </row>
    <row r="175" spans="1:12" s="1" customFormat="1" ht="26.45" customHeight="1" x14ac:dyDescent="0.25">
      <c r="A175" s="1" t="s">
        <v>1031</v>
      </c>
      <c r="B175" s="1" t="s">
        <v>1032</v>
      </c>
      <c r="C175" s="1" t="str">
        <f t="shared" si="9"/>
        <v>Adam Mayer</v>
      </c>
      <c r="D175" s="1" t="s">
        <v>1033</v>
      </c>
      <c r="E175" s="1" t="s">
        <v>1034</v>
      </c>
      <c r="F175" s="1" t="s">
        <v>16</v>
      </c>
      <c r="G175" s="1" t="s">
        <v>17</v>
      </c>
      <c r="H175" s="1">
        <v>94164</v>
      </c>
      <c r="J175" s="9" t="s">
        <v>1035</v>
      </c>
      <c r="K175" s="9" t="s">
        <v>21</v>
      </c>
      <c r="L175" s="1" t="s">
        <v>1036</v>
      </c>
    </row>
    <row r="176" spans="1:12" s="1" customFormat="1" ht="25.5" x14ac:dyDescent="0.25">
      <c r="A176" s="1" t="s">
        <v>372</v>
      </c>
      <c r="B176" s="1" t="s">
        <v>373</v>
      </c>
      <c r="C176" s="1" t="str">
        <f t="shared" si="9"/>
        <v>Tracy Everwine</v>
      </c>
      <c r="D176" s="1" t="s">
        <v>1037</v>
      </c>
      <c r="E176" s="1" t="s">
        <v>1038</v>
      </c>
      <c r="F176" s="1" t="s">
        <v>16</v>
      </c>
      <c r="G176" s="1" t="s">
        <v>17</v>
      </c>
      <c r="H176" s="1">
        <v>94103</v>
      </c>
      <c r="I176" s="1" t="s">
        <v>1039</v>
      </c>
      <c r="J176" s="9" t="s">
        <v>1040</v>
      </c>
      <c r="K176" s="9" t="s">
        <v>21</v>
      </c>
      <c r="L176" s="1" t="s">
        <v>106</v>
      </c>
    </row>
    <row r="177" spans="1:12" s="1" customFormat="1" ht="66" customHeight="1" x14ac:dyDescent="0.25">
      <c r="C177" s="1" t="s">
        <v>1041</v>
      </c>
      <c r="D177" s="1" t="s">
        <v>1042</v>
      </c>
      <c r="E177" s="1" t="s">
        <v>1043</v>
      </c>
      <c r="F177" s="1" t="s">
        <v>16</v>
      </c>
      <c r="G177" s="1" t="s">
        <v>17</v>
      </c>
      <c r="H177" s="1">
        <v>94103</v>
      </c>
      <c r="I177" s="1" t="s">
        <v>1044</v>
      </c>
      <c r="J177" s="9" t="s">
        <v>1045</v>
      </c>
      <c r="K177" s="9" t="s">
        <v>63</v>
      </c>
      <c r="L177" s="1" t="s">
        <v>1046</v>
      </c>
    </row>
    <row r="178" spans="1:12" s="1" customFormat="1" ht="27" customHeight="1" x14ac:dyDescent="0.2">
      <c r="A178" s="1" t="s">
        <v>1047</v>
      </c>
      <c r="B178" s="1" t="s">
        <v>1048</v>
      </c>
      <c r="C178" s="1" t="str">
        <f t="shared" ref="C178:C187" si="10">A178&amp;" "&amp;B178</f>
        <v>Megan Sullivan</v>
      </c>
      <c r="D178" s="1" t="s">
        <v>1049</v>
      </c>
      <c r="E178" s="1" t="s">
        <v>1050</v>
      </c>
      <c r="F178" s="1" t="s">
        <v>16</v>
      </c>
      <c r="G178" s="1" t="s">
        <v>17</v>
      </c>
      <c r="H178" s="1" t="s">
        <v>935</v>
      </c>
      <c r="I178" s="1" t="s">
        <v>1051</v>
      </c>
      <c r="J178" s="17" t="s">
        <v>1052</v>
      </c>
      <c r="K178" s="9" t="s">
        <v>21</v>
      </c>
      <c r="L178" s="1" t="s">
        <v>1053</v>
      </c>
    </row>
    <row r="179" spans="1:12" s="1" customFormat="1" x14ac:dyDescent="0.2">
      <c r="A179" s="1" t="s">
        <v>1054</v>
      </c>
      <c r="B179" s="1" t="s">
        <v>1055</v>
      </c>
      <c r="C179" s="1" t="str">
        <f t="shared" si="10"/>
        <v>Flo Kimmerling</v>
      </c>
      <c r="D179" s="1" t="s">
        <v>1056</v>
      </c>
      <c r="E179" s="1" t="s">
        <v>1057</v>
      </c>
      <c r="F179" s="1" t="s">
        <v>16</v>
      </c>
      <c r="G179" s="1" t="s">
        <v>17</v>
      </c>
      <c r="H179" s="1" t="s">
        <v>810</v>
      </c>
      <c r="I179" s="1" t="s">
        <v>1058</v>
      </c>
      <c r="J179" s="17" t="s">
        <v>1059</v>
      </c>
      <c r="K179" s="9" t="s">
        <v>21</v>
      </c>
      <c r="L179" s="1" t="s">
        <v>441</v>
      </c>
    </row>
    <row r="180" spans="1:12" s="1" customFormat="1" ht="26.45" customHeight="1" x14ac:dyDescent="0.2">
      <c r="A180" s="1" t="s">
        <v>1060</v>
      </c>
      <c r="B180" s="1" t="s">
        <v>1061</v>
      </c>
      <c r="C180" s="1" t="str">
        <f t="shared" si="10"/>
        <v>Joseph Humphreys</v>
      </c>
      <c r="D180" s="1" t="s">
        <v>1062</v>
      </c>
      <c r="E180" s="1" t="s">
        <v>1063</v>
      </c>
      <c r="F180" s="1" t="s">
        <v>16</v>
      </c>
      <c r="G180" s="1" t="s">
        <v>17</v>
      </c>
      <c r="H180" s="1" t="s">
        <v>485</v>
      </c>
      <c r="I180" s="1" t="s">
        <v>1064</v>
      </c>
      <c r="J180" s="17" t="s">
        <v>1065</v>
      </c>
      <c r="K180" s="17" t="s">
        <v>63</v>
      </c>
      <c r="L180" s="1" t="s">
        <v>1066</v>
      </c>
    </row>
    <row r="181" spans="1:12" s="1" customFormat="1" x14ac:dyDescent="0.2">
      <c r="A181" s="1" t="s">
        <v>1067</v>
      </c>
      <c r="B181" s="1" t="s">
        <v>1068</v>
      </c>
      <c r="C181" s="1" t="str">
        <f t="shared" si="10"/>
        <v>Karen  Breslin</v>
      </c>
      <c r="D181" s="1" t="s">
        <v>1069</v>
      </c>
      <c r="E181" s="1" t="s">
        <v>1070</v>
      </c>
      <c r="F181" s="1" t="s">
        <v>16</v>
      </c>
      <c r="G181" s="1" t="s">
        <v>17</v>
      </c>
      <c r="H181" s="1">
        <v>94127</v>
      </c>
      <c r="I181" s="22" t="s">
        <v>1071</v>
      </c>
      <c r="J181" s="15" t="s">
        <v>1072</v>
      </c>
      <c r="K181" s="15" t="s">
        <v>21</v>
      </c>
      <c r="L181" s="1" t="s">
        <v>141</v>
      </c>
    </row>
    <row r="182" spans="1:12" s="1" customFormat="1" x14ac:dyDescent="0.2">
      <c r="A182" s="1" t="s">
        <v>334</v>
      </c>
      <c r="B182" s="1" t="s">
        <v>1073</v>
      </c>
      <c r="C182" s="1" t="str">
        <f t="shared" si="10"/>
        <v>Morgan Noble</v>
      </c>
      <c r="D182" s="1" t="s">
        <v>1074</v>
      </c>
      <c r="E182" s="1" t="s">
        <v>1075</v>
      </c>
      <c r="F182" s="1" t="s">
        <v>16</v>
      </c>
      <c r="G182" s="1" t="s">
        <v>17</v>
      </c>
      <c r="H182" s="1">
        <v>94110</v>
      </c>
      <c r="I182" s="22" t="s">
        <v>1076</v>
      </c>
      <c r="J182" s="15" t="s">
        <v>1077</v>
      </c>
      <c r="K182" s="9" t="s">
        <v>63</v>
      </c>
      <c r="L182" s="1" t="s">
        <v>22</v>
      </c>
    </row>
    <row r="183" spans="1:12" s="1" customFormat="1" ht="25.5" x14ac:dyDescent="0.2">
      <c r="C183" s="1" t="s">
        <v>1845</v>
      </c>
      <c r="D183" s="1" t="s">
        <v>1849</v>
      </c>
      <c r="E183" s="1" t="s">
        <v>1846</v>
      </c>
      <c r="F183" s="1" t="s">
        <v>16</v>
      </c>
      <c r="G183" s="1" t="s">
        <v>17</v>
      </c>
      <c r="H183" s="1">
        <v>94158</v>
      </c>
      <c r="I183" s="22"/>
      <c r="J183" s="46" t="s">
        <v>1847</v>
      </c>
      <c r="K183" s="9" t="s">
        <v>218</v>
      </c>
      <c r="L183" s="1" t="s">
        <v>1848</v>
      </c>
    </row>
    <row r="184" spans="1:12" s="1" customFormat="1" ht="26.45" customHeight="1" x14ac:dyDescent="0.25">
      <c r="A184" s="1" t="s">
        <v>1078</v>
      </c>
      <c r="B184" s="1" t="s">
        <v>771</v>
      </c>
      <c r="C184" s="1" t="str">
        <f t="shared" si="10"/>
        <v>Peter Lewis</v>
      </c>
      <c r="D184" s="1" t="s">
        <v>1079</v>
      </c>
      <c r="E184" s="1" t="s">
        <v>1080</v>
      </c>
      <c r="F184" s="1" t="s">
        <v>16</v>
      </c>
      <c r="G184" s="1" t="s">
        <v>17</v>
      </c>
      <c r="H184" s="1">
        <v>94110</v>
      </c>
      <c r="I184" s="1" t="s">
        <v>1081</v>
      </c>
      <c r="J184" s="9" t="s">
        <v>1082</v>
      </c>
      <c r="K184" s="9" t="s">
        <v>63</v>
      </c>
      <c r="L184" s="1" t="s">
        <v>1083</v>
      </c>
    </row>
    <row r="185" spans="1:12" s="1" customFormat="1" ht="26.45" customHeight="1" x14ac:dyDescent="0.2">
      <c r="A185" s="1" t="s">
        <v>1078</v>
      </c>
      <c r="B185" s="1" t="s">
        <v>1084</v>
      </c>
      <c r="C185" s="1" t="s">
        <v>1856</v>
      </c>
      <c r="D185" s="1" t="s">
        <v>1085</v>
      </c>
      <c r="E185" s="1" t="s">
        <v>1086</v>
      </c>
      <c r="F185" s="1" t="s">
        <v>16</v>
      </c>
      <c r="G185" s="1" t="s">
        <v>17</v>
      </c>
      <c r="H185" s="1" t="s">
        <v>186</v>
      </c>
      <c r="I185" s="1" t="s">
        <v>1087</v>
      </c>
      <c r="J185" s="46" t="s">
        <v>1857</v>
      </c>
      <c r="K185" s="9" t="s">
        <v>63</v>
      </c>
      <c r="L185" s="1" t="s">
        <v>1088</v>
      </c>
    </row>
    <row r="186" spans="1:12" s="1" customFormat="1" x14ac:dyDescent="0.2">
      <c r="A186" s="1" t="s">
        <v>1089</v>
      </c>
      <c r="B186" s="1" t="s">
        <v>1090</v>
      </c>
      <c r="C186" s="1" t="str">
        <f t="shared" si="10"/>
        <v>Annika Hom</v>
      </c>
      <c r="D186" s="1" t="s">
        <v>1091</v>
      </c>
      <c r="E186" s="1" t="s">
        <v>1092</v>
      </c>
      <c r="F186" s="1" t="s">
        <v>53</v>
      </c>
      <c r="G186" s="1" t="s">
        <v>17</v>
      </c>
      <c r="H186" s="1">
        <v>94110</v>
      </c>
      <c r="J186" s="46" t="s">
        <v>1093</v>
      </c>
      <c r="K186" s="1" t="s">
        <v>63</v>
      </c>
      <c r="L186" s="1" t="s">
        <v>1094</v>
      </c>
    </row>
    <row r="187" spans="1:12" s="1" customFormat="1" x14ac:dyDescent="0.2">
      <c r="A187" s="1" t="s">
        <v>164</v>
      </c>
      <c r="B187" s="1" t="s">
        <v>1095</v>
      </c>
      <c r="C187" s="1" t="str">
        <f t="shared" si="10"/>
        <v>Philip Lesser</v>
      </c>
      <c r="D187" s="1" t="s">
        <v>1096</v>
      </c>
      <c r="E187" s="1" t="s">
        <v>1097</v>
      </c>
      <c r="F187" s="1" t="s">
        <v>1098</v>
      </c>
      <c r="G187" s="1" t="s">
        <v>17</v>
      </c>
      <c r="H187" s="1">
        <v>94401</v>
      </c>
      <c r="I187" s="1" t="s">
        <v>1099</v>
      </c>
      <c r="J187" s="46" t="s">
        <v>1100</v>
      </c>
      <c r="K187" s="17" t="s">
        <v>63</v>
      </c>
      <c r="L187" s="1" t="s">
        <v>64</v>
      </c>
    </row>
    <row r="188" spans="1:12" s="1" customFormat="1" ht="26.45" customHeight="1" x14ac:dyDescent="0.2">
      <c r="C188" s="1" t="s">
        <v>1101</v>
      </c>
      <c r="D188" s="1" t="s">
        <v>1096</v>
      </c>
      <c r="E188" s="1" t="s">
        <v>1102</v>
      </c>
      <c r="F188" s="1" t="s">
        <v>16</v>
      </c>
      <c r="G188" s="1" t="s">
        <v>17</v>
      </c>
      <c r="H188" s="1">
        <v>94140</v>
      </c>
      <c r="I188" s="1" t="s">
        <v>1103</v>
      </c>
      <c r="J188" s="15" t="s">
        <v>1104</v>
      </c>
      <c r="K188" s="17" t="s">
        <v>63</v>
      </c>
      <c r="L188" s="1" t="s">
        <v>64</v>
      </c>
    </row>
    <row r="189" spans="1:12" s="1" customFormat="1" x14ac:dyDescent="0.2">
      <c r="A189" s="1" t="s">
        <v>233</v>
      </c>
      <c r="B189" s="1" t="s">
        <v>1011</v>
      </c>
      <c r="C189" s="1" t="str">
        <f t="shared" ref="C189:C202" si="11">A189&amp;" "&amp;B189</f>
        <v>Rafael Moreno</v>
      </c>
      <c r="D189" s="1" t="s">
        <v>1105</v>
      </c>
      <c r="E189" s="1" t="s">
        <v>1106</v>
      </c>
      <c r="F189" s="1" t="s">
        <v>16</v>
      </c>
      <c r="G189" s="1" t="s">
        <v>17</v>
      </c>
      <c r="H189" s="1">
        <v>94110</v>
      </c>
      <c r="J189" s="17" t="s">
        <v>1107</v>
      </c>
      <c r="K189" s="17" t="s">
        <v>63</v>
      </c>
      <c r="L189" s="1" t="s">
        <v>64</v>
      </c>
    </row>
    <row r="190" spans="1:12" s="1" customFormat="1" ht="26.45" customHeight="1" x14ac:dyDescent="0.2">
      <c r="A190" s="1" t="s">
        <v>1108</v>
      </c>
      <c r="B190" s="1" t="s">
        <v>1109</v>
      </c>
      <c r="C190" s="1" t="str">
        <f t="shared" si="11"/>
        <v>Kimber Blackburn</v>
      </c>
      <c r="D190" s="1" t="s">
        <v>1110</v>
      </c>
      <c r="E190" s="1" t="s">
        <v>1111</v>
      </c>
      <c r="F190" s="1" t="s">
        <v>16</v>
      </c>
      <c r="G190" s="1" t="s">
        <v>17</v>
      </c>
      <c r="H190" s="1" t="s">
        <v>1112</v>
      </c>
      <c r="J190" s="17" t="s">
        <v>1113</v>
      </c>
      <c r="K190" s="17" t="s">
        <v>21</v>
      </c>
      <c r="L190" s="1" t="s">
        <v>141</v>
      </c>
    </row>
    <row r="191" spans="1:12" s="1" customFormat="1" ht="25.5" x14ac:dyDescent="0.2">
      <c r="A191" s="1" t="s">
        <v>1114</v>
      </c>
      <c r="B191" s="1" t="s">
        <v>1115</v>
      </c>
      <c r="C191" s="1" t="str">
        <f t="shared" si="11"/>
        <v>Russell Davis</v>
      </c>
      <c r="D191" s="1" t="s">
        <v>1116</v>
      </c>
      <c r="E191" s="1" t="s">
        <v>1117</v>
      </c>
      <c r="F191" s="1" t="s">
        <v>16</v>
      </c>
      <c r="G191" s="1" t="s">
        <v>17</v>
      </c>
      <c r="H191" s="1">
        <v>94127</v>
      </c>
      <c r="I191" s="1" t="s">
        <v>1118</v>
      </c>
      <c r="J191" s="15" t="s">
        <v>1119</v>
      </c>
      <c r="K191" s="15" t="s">
        <v>63</v>
      </c>
      <c r="L191" s="1" t="s">
        <v>141</v>
      </c>
    </row>
    <row r="192" spans="1:12" s="1" customFormat="1" ht="26.45" customHeight="1" x14ac:dyDescent="0.2">
      <c r="A192" s="1" t="s">
        <v>1120</v>
      </c>
      <c r="B192" s="1" t="s">
        <v>1121</v>
      </c>
      <c r="C192" s="1" t="str">
        <f t="shared" si="11"/>
        <v>Dan Slaughter</v>
      </c>
      <c r="D192" s="1" t="s">
        <v>1122</v>
      </c>
      <c r="E192" s="1" t="s">
        <v>1123</v>
      </c>
      <c r="F192" s="1" t="s">
        <v>16</v>
      </c>
      <c r="G192" s="1" t="s">
        <v>17</v>
      </c>
      <c r="H192" s="1" t="s">
        <v>549</v>
      </c>
      <c r="I192" s="1" t="s">
        <v>1124</v>
      </c>
      <c r="J192" s="15" t="s">
        <v>1125</v>
      </c>
      <c r="K192" s="15" t="s">
        <v>63</v>
      </c>
      <c r="L192" s="1" t="s">
        <v>1126</v>
      </c>
    </row>
    <row r="193" spans="1:12" s="1" customFormat="1" ht="26.45" customHeight="1" x14ac:dyDescent="0.2">
      <c r="A193" s="1" t="s">
        <v>1127</v>
      </c>
      <c r="B193" s="1" t="s">
        <v>1128</v>
      </c>
      <c r="C193" s="1" t="str">
        <f t="shared" si="11"/>
        <v>Everett Hewlett</v>
      </c>
      <c r="D193" s="1" t="s">
        <v>1129</v>
      </c>
      <c r="E193" s="1" t="s">
        <v>1130</v>
      </c>
      <c r="F193" s="1" t="s">
        <v>16</v>
      </c>
      <c r="G193" s="1" t="s">
        <v>17</v>
      </c>
      <c r="H193" s="1" t="s">
        <v>485</v>
      </c>
      <c r="I193" s="1" t="s">
        <v>1131</v>
      </c>
      <c r="J193" s="17" t="s">
        <v>1132</v>
      </c>
      <c r="K193" s="9" t="s">
        <v>21</v>
      </c>
      <c r="L193" s="1" t="s">
        <v>552</v>
      </c>
    </row>
    <row r="194" spans="1:12" s="1" customFormat="1" x14ac:dyDescent="0.2">
      <c r="C194" s="1" t="str">
        <f t="shared" si="11"/>
        <v xml:space="preserve"> </v>
      </c>
      <c r="D194" s="1" t="s">
        <v>1133</v>
      </c>
      <c r="E194" s="1" t="s">
        <v>1134</v>
      </c>
      <c r="F194" s="1" t="s">
        <v>16</v>
      </c>
      <c r="G194" s="1" t="s">
        <v>17</v>
      </c>
      <c r="H194" s="1">
        <v>94110</v>
      </c>
      <c r="J194" s="15"/>
      <c r="K194" s="15" t="s">
        <v>21</v>
      </c>
      <c r="L194" s="1" t="s">
        <v>64</v>
      </c>
    </row>
    <row r="195" spans="1:12" s="1" customFormat="1" ht="26.45" customHeight="1" x14ac:dyDescent="0.2">
      <c r="A195" s="1" t="s">
        <v>1135</v>
      </c>
      <c r="B195" s="1" t="s">
        <v>1136</v>
      </c>
      <c r="C195" s="1" t="str">
        <f t="shared" si="11"/>
        <v>Balint Seeber, Lesley Kohn</v>
      </c>
      <c r="D195" s="1" t="s">
        <v>1137</v>
      </c>
      <c r="E195" s="1" t="s">
        <v>1138</v>
      </c>
      <c r="F195" s="1" t="s">
        <v>16</v>
      </c>
      <c r="G195" s="1" t="s">
        <v>17</v>
      </c>
      <c r="H195" s="1">
        <v>94134</v>
      </c>
      <c r="I195" s="1" t="s">
        <v>1139</v>
      </c>
      <c r="J195" s="15" t="s">
        <v>1140</v>
      </c>
      <c r="K195" s="9" t="s">
        <v>21</v>
      </c>
      <c r="L195" s="1" t="s">
        <v>123</v>
      </c>
    </row>
    <row r="196" spans="1:12" s="1" customFormat="1" ht="26.45" customHeight="1" x14ac:dyDescent="0.25">
      <c r="A196" s="1" t="s">
        <v>1141</v>
      </c>
      <c r="B196" s="1" t="s">
        <v>1142</v>
      </c>
      <c r="C196" s="1" t="str">
        <f t="shared" si="11"/>
        <v>Claudia Chamberlain</v>
      </c>
      <c r="D196" s="1" t="s">
        <v>1143</v>
      </c>
      <c r="E196" s="1" t="s">
        <v>1144</v>
      </c>
      <c r="F196" s="1" t="s">
        <v>16</v>
      </c>
      <c r="G196" s="1" t="s">
        <v>17</v>
      </c>
      <c r="H196" s="1" t="s">
        <v>1145</v>
      </c>
      <c r="I196" s="1" t="s">
        <v>1146</v>
      </c>
      <c r="J196" s="1" t="s">
        <v>1147</v>
      </c>
      <c r="K196" s="1" t="s">
        <v>21</v>
      </c>
      <c r="L196" s="1" t="s">
        <v>141</v>
      </c>
    </row>
    <row r="197" spans="1:12" s="1" customFormat="1" ht="26.45" customHeight="1" x14ac:dyDescent="0.2">
      <c r="A197" s="1" t="s">
        <v>963</v>
      </c>
      <c r="B197" s="1" t="s">
        <v>1148</v>
      </c>
      <c r="C197" s="1" t="str">
        <f t="shared" si="11"/>
        <v>David Hooper</v>
      </c>
      <c r="D197" s="1" t="s">
        <v>1149</v>
      </c>
      <c r="E197" s="1" t="s">
        <v>1150</v>
      </c>
      <c r="F197" s="1" t="s">
        <v>16</v>
      </c>
      <c r="G197" s="1" t="s">
        <v>17</v>
      </c>
      <c r="H197" s="1" t="s">
        <v>344</v>
      </c>
      <c r="J197" s="17" t="s">
        <v>1151</v>
      </c>
      <c r="K197" s="17" t="s">
        <v>21</v>
      </c>
      <c r="L197" s="1" t="s">
        <v>1152</v>
      </c>
    </row>
    <row r="198" spans="1:12" s="1" customFormat="1" x14ac:dyDescent="0.2">
      <c r="A198" s="1" t="s">
        <v>50</v>
      </c>
      <c r="B198" s="1" t="s">
        <v>51</v>
      </c>
      <c r="C198" s="1" t="str">
        <f t="shared" si="11"/>
        <v>Russel Morine</v>
      </c>
      <c r="D198" s="1" t="s">
        <v>1153</v>
      </c>
      <c r="E198" s="1" t="s">
        <v>52</v>
      </c>
      <c r="F198" s="1" t="s">
        <v>16</v>
      </c>
      <c r="G198" s="1" t="s">
        <v>17</v>
      </c>
      <c r="H198" s="1" t="s">
        <v>426</v>
      </c>
      <c r="I198" s="1" t="s">
        <v>54</v>
      </c>
      <c r="J198" s="17" t="s">
        <v>55</v>
      </c>
      <c r="K198" s="17" t="s">
        <v>21</v>
      </c>
      <c r="L198" s="1" t="s">
        <v>123</v>
      </c>
    </row>
    <row r="199" spans="1:12" s="1" customFormat="1" x14ac:dyDescent="0.2">
      <c r="A199" s="1" t="s">
        <v>1154</v>
      </c>
      <c r="B199" s="1" t="s">
        <v>1155</v>
      </c>
      <c r="C199" s="1" t="str">
        <f t="shared" si="11"/>
        <v>Cathy Inamasu</v>
      </c>
      <c r="D199" s="1" t="s">
        <v>1156</v>
      </c>
      <c r="E199" s="1" t="s">
        <v>1157</v>
      </c>
      <c r="F199" s="1" t="s">
        <v>16</v>
      </c>
      <c r="G199" s="1" t="s">
        <v>17</v>
      </c>
      <c r="H199" s="1" t="s">
        <v>849</v>
      </c>
      <c r="I199" s="1" t="s">
        <v>1158</v>
      </c>
      <c r="J199" s="17" t="s">
        <v>1159</v>
      </c>
      <c r="K199" s="17" t="s">
        <v>63</v>
      </c>
      <c r="L199" s="1" t="s">
        <v>28</v>
      </c>
    </row>
    <row r="200" spans="1:12" s="1" customFormat="1" x14ac:dyDescent="0.25">
      <c r="A200" s="1" t="s">
        <v>1160</v>
      </c>
      <c r="B200" s="1" t="s">
        <v>1161</v>
      </c>
      <c r="C200" s="1" t="str">
        <f t="shared" si="11"/>
        <v>Harriet Rohmer</v>
      </c>
      <c r="D200" s="1" t="s">
        <v>1162</v>
      </c>
      <c r="E200" s="1" t="s">
        <v>1163</v>
      </c>
      <c r="F200" s="1" t="s">
        <v>16</v>
      </c>
      <c r="G200" s="1" t="s">
        <v>17</v>
      </c>
      <c r="H200" s="1" t="s">
        <v>810</v>
      </c>
      <c r="I200" s="1" t="s">
        <v>1164</v>
      </c>
      <c r="J200" s="9" t="s">
        <v>1165</v>
      </c>
      <c r="K200" s="9" t="s">
        <v>63</v>
      </c>
      <c r="L200" s="1" t="s">
        <v>552</v>
      </c>
    </row>
    <row r="201" spans="1:12" s="1" customFormat="1" x14ac:dyDescent="0.25">
      <c r="A201" s="1" t="s">
        <v>1166</v>
      </c>
      <c r="B201" s="1" t="s">
        <v>1167</v>
      </c>
      <c r="C201" s="1" t="str">
        <f t="shared" si="11"/>
        <v xml:space="preserve">Ozzie Rohm </v>
      </c>
      <c r="D201" s="1" t="s">
        <v>1168</v>
      </c>
      <c r="E201" s="1" t="s">
        <v>1169</v>
      </c>
      <c r="F201" s="1" t="s">
        <v>16</v>
      </c>
      <c r="G201" s="1" t="s">
        <v>17</v>
      </c>
      <c r="H201" s="1">
        <v>94114</v>
      </c>
      <c r="J201" s="9" t="s">
        <v>1170</v>
      </c>
      <c r="K201" s="9" t="s">
        <v>63</v>
      </c>
      <c r="L201" s="1" t="s">
        <v>49</v>
      </c>
    </row>
    <row r="202" spans="1:12" s="1" customFormat="1" ht="26.45" customHeight="1" x14ac:dyDescent="0.2">
      <c r="A202" s="1" t="s">
        <v>1171</v>
      </c>
      <c r="B202" s="1" t="s">
        <v>1172</v>
      </c>
      <c r="C202" s="1" t="str">
        <f t="shared" si="11"/>
        <v>Henry Tang &amp; Brian Kingan</v>
      </c>
      <c r="D202" s="1" t="s">
        <v>1173</v>
      </c>
      <c r="E202" s="1" t="s">
        <v>1174</v>
      </c>
      <c r="F202" s="1" t="s">
        <v>16</v>
      </c>
      <c r="G202" s="1" t="s">
        <v>17</v>
      </c>
      <c r="H202" s="1">
        <v>94117</v>
      </c>
      <c r="I202" s="1" t="s">
        <v>1175</v>
      </c>
      <c r="J202" s="15" t="s">
        <v>1176</v>
      </c>
      <c r="K202" s="9" t="s">
        <v>21</v>
      </c>
      <c r="L202" s="1" t="s">
        <v>34</v>
      </c>
    </row>
    <row r="203" spans="1:12" s="1" customFormat="1" ht="26.45" customHeight="1" x14ac:dyDescent="0.2">
      <c r="C203" s="1" t="s">
        <v>1177</v>
      </c>
      <c r="D203" s="1" t="s">
        <v>1178</v>
      </c>
      <c r="E203" s="1" t="s">
        <v>1179</v>
      </c>
      <c r="F203" s="1" t="s">
        <v>16</v>
      </c>
      <c r="G203" s="1" t="s">
        <v>17</v>
      </c>
      <c r="H203" s="1">
        <v>94133</v>
      </c>
      <c r="J203" s="15" t="s">
        <v>1180</v>
      </c>
      <c r="K203" s="9" t="s">
        <v>63</v>
      </c>
      <c r="L203" s="1" t="s">
        <v>1181</v>
      </c>
    </row>
    <row r="204" spans="1:12" s="1" customFormat="1" ht="26.45" customHeight="1" x14ac:dyDescent="0.2">
      <c r="A204" s="1" t="s">
        <v>360</v>
      </c>
      <c r="B204" s="1" t="s">
        <v>360</v>
      </c>
      <c r="C204" s="1" t="str">
        <f t="shared" ref="C204:C209" si="12">A204&amp;" "&amp;B204</f>
        <v xml:space="preserve">   </v>
      </c>
      <c r="D204" s="1" t="s">
        <v>1182</v>
      </c>
      <c r="E204" s="1" t="s">
        <v>1183</v>
      </c>
      <c r="F204" s="1" t="s">
        <v>16</v>
      </c>
      <c r="G204" s="1" t="s">
        <v>17</v>
      </c>
      <c r="H204" s="1">
        <v>94133</v>
      </c>
      <c r="I204" s="1" t="s">
        <v>1184</v>
      </c>
      <c r="J204" s="17" t="s">
        <v>1185</v>
      </c>
      <c r="K204" s="9" t="s">
        <v>21</v>
      </c>
      <c r="L204" s="1" t="s">
        <v>1186</v>
      </c>
    </row>
    <row r="205" spans="1:12" s="1" customFormat="1" ht="26.45" customHeight="1" x14ac:dyDescent="0.2">
      <c r="A205" s="1" t="s">
        <v>1187</v>
      </c>
      <c r="B205" s="1" t="s">
        <v>1188</v>
      </c>
      <c r="C205" s="1" t="str">
        <f t="shared" si="12"/>
        <v>Danny Sauter</v>
      </c>
      <c r="D205" s="1" t="s">
        <v>1189</v>
      </c>
      <c r="E205" s="1" t="s">
        <v>1190</v>
      </c>
      <c r="F205" s="1" t="s">
        <v>16</v>
      </c>
      <c r="G205" s="1" t="s">
        <v>17</v>
      </c>
      <c r="H205" s="1" t="s">
        <v>18</v>
      </c>
      <c r="I205" s="1" t="s">
        <v>1191</v>
      </c>
      <c r="J205" s="17" t="s">
        <v>1192</v>
      </c>
      <c r="K205" s="17" t="s">
        <v>63</v>
      </c>
      <c r="L205" s="1" t="s">
        <v>227</v>
      </c>
    </row>
    <row r="206" spans="1:12" s="1" customFormat="1" x14ac:dyDescent="0.2">
      <c r="A206" s="1" t="s">
        <v>1193</v>
      </c>
      <c r="B206" s="1" t="s">
        <v>1194</v>
      </c>
      <c r="C206" s="1" t="str">
        <f t="shared" si="12"/>
        <v>Theresa Flandrich</v>
      </c>
      <c r="D206" s="1" t="s">
        <v>1195</v>
      </c>
      <c r="E206" s="1" t="s">
        <v>1196</v>
      </c>
      <c r="F206" s="1" t="s">
        <v>16</v>
      </c>
      <c r="G206" s="1" t="s">
        <v>17</v>
      </c>
      <c r="H206" s="1">
        <v>94133</v>
      </c>
      <c r="I206" s="1" t="s">
        <v>1197</v>
      </c>
      <c r="J206" s="15" t="s">
        <v>1198</v>
      </c>
      <c r="K206" s="9" t="s">
        <v>21</v>
      </c>
      <c r="L206" s="1" t="s">
        <v>1186</v>
      </c>
    </row>
    <row r="207" spans="1:12" s="1" customFormat="1" ht="26.45" customHeight="1" x14ac:dyDescent="0.2">
      <c r="A207" s="1" t="s">
        <v>1199</v>
      </c>
      <c r="B207" s="1" t="s">
        <v>1200</v>
      </c>
      <c r="C207" s="1" t="str">
        <f t="shared" si="12"/>
        <v>Wyland Chu</v>
      </c>
      <c r="D207" s="1" t="s">
        <v>1201</v>
      </c>
      <c r="E207" s="1" t="s">
        <v>1202</v>
      </c>
      <c r="F207" s="1" t="s">
        <v>16</v>
      </c>
      <c r="G207" s="1" t="s">
        <v>17</v>
      </c>
      <c r="H207" s="1" t="s">
        <v>18</v>
      </c>
      <c r="I207" s="1" t="s">
        <v>1203</v>
      </c>
      <c r="J207" s="17" t="s">
        <v>1204</v>
      </c>
      <c r="K207" s="17" t="s">
        <v>63</v>
      </c>
      <c r="L207" s="1" t="s">
        <v>1186</v>
      </c>
    </row>
    <row r="208" spans="1:12" s="1" customFormat="1" x14ac:dyDescent="0.2">
      <c r="A208" s="1" t="s">
        <v>1205</v>
      </c>
      <c r="B208" s="1" t="s">
        <v>1206</v>
      </c>
      <c r="C208" s="1" t="str">
        <f t="shared" si="12"/>
        <v>Jessica Ho</v>
      </c>
      <c r="D208" s="1" t="s">
        <v>1201</v>
      </c>
      <c r="E208" s="1" t="s">
        <v>1207</v>
      </c>
      <c r="F208" s="1" t="s">
        <v>128</v>
      </c>
      <c r="G208" s="1" t="s">
        <v>17</v>
      </c>
      <c r="H208" s="1">
        <v>94014</v>
      </c>
      <c r="J208" s="15" t="s">
        <v>1208</v>
      </c>
      <c r="K208" s="17" t="s">
        <v>63</v>
      </c>
      <c r="L208" s="1" t="s">
        <v>1186</v>
      </c>
    </row>
    <row r="209" spans="1:12" s="1" customFormat="1" ht="26.45" customHeight="1" x14ac:dyDescent="0.2">
      <c r="A209" s="1" t="s">
        <v>1209</v>
      </c>
      <c r="B209" s="1" t="s">
        <v>1210</v>
      </c>
      <c r="C209" s="1" t="str">
        <f t="shared" si="12"/>
        <v>Meg  Rahner</v>
      </c>
      <c r="D209" s="1" t="s">
        <v>1211</v>
      </c>
      <c r="E209" s="1" t="s">
        <v>1212</v>
      </c>
      <c r="F209" s="1" t="s">
        <v>432</v>
      </c>
      <c r="G209" s="1" t="s">
        <v>17</v>
      </c>
      <c r="H209" s="1">
        <v>94115</v>
      </c>
      <c r="J209" s="17" t="s">
        <v>1213</v>
      </c>
      <c r="K209" s="17" t="s">
        <v>63</v>
      </c>
      <c r="L209" s="1" t="s">
        <v>1214</v>
      </c>
    </row>
    <row r="210" spans="1:12" s="1" customFormat="1" ht="52.9" customHeight="1" x14ac:dyDescent="0.2">
      <c r="C210" s="1" t="s">
        <v>1215</v>
      </c>
      <c r="D210" s="1" t="s">
        <v>1216</v>
      </c>
      <c r="E210" s="1" t="s">
        <v>1217</v>
      </c>
      <c r="F210" s="1" t="s">
        <v>16</v>
      </c>
      <c r="G210" s="1" t="s">
        <v>17</v>
      </c>
      <c r="H210" s="1">
        <v>94115</v>
      </c>
      <c r="J210" s="15" t="s">
        <v>1218</v>
      </c>
      <c r="K210" s="17" t="s">
        <v>63</v>
      </c>
      <c r="L210" s="1" t="s">
        <v>1219</v>
      </c>
    </row>
    <row r="211" spans="1:12" s="1" customFormat="1" ht="26.45" customHeight="1" x14ac:dyDescent="0.2">
      <c r="C211" s="1" t="str">
        <f>A211&amp;" "&amp;B211</f>
        <v xml:space="preserve"> </v>
      </c>
      <c r="D211" s="1" t="s">
        <v>1220</v>
      </c>
      <c r="E211" s="1" t="s">
        <v>1221</v>
      </c>
      <c r="F211" s="1" t="s">
        <v>16</v>
      </c>
      <c r="G211" s="1" t="s">
        <v>17</v>
      </c>
      <c r="H211" s="1" t="s">
        <v>186</v>
      </c>
      <c r="J211" s="15" t="s">
        <v>1222</v>
      </c>
      <c r="K211" s="15" t="s">
        <v>63</v>
      </c>
      <c r="L211" s="1" t="s">
        <v>181</v>
      </c>
    </row>
    <row r="212" spans="1:12" s="1" customFormat="1" ht="52.9" customHeight="1" x14ac:dyDescent="0.25">
      <c r="A212" s="1" t="s">
        <v>1223</v>
      </c>
      <c r="B212" s="1" t="s">
        <v>1224</v>
      </c>
      <c r="C212" s="1" t="str">
        <f>A212&amp;" "&amp;B212</f>
        <v>Billy Lee</v>
      </c>
      <c r="D212" s="1" t="s">
        <v>1225</v>
      </c>
      <c r="E212" s="1" t="s">
        <v>1226</v>
      </c>
      <c r="F212" s="1" t="s">
        <v>1227</v>
      </c>
      <c r="G212" s="1" t="s">
        <v>17</v>
      </c>
      <c r="H212" s="1">
        <v>94559</v>
      </c>
      <c r="I212" s="1" t="s">
        <v>1228</v>
      </c>
      <c r="J212" s="9" t="s">
        <v>1229</v>
      </c>
      <c r="K212" s="9" t="s">
        <v>21</v>
      </c>
      <c r="L212" s="1" t="s">
        <v>1230</v>
      </c>
    </row>
    <row r="213" spans="1:12" s="1" customFormat="1" ht="26.45" customHeight="1" x14ac:dyDescent="0.2">
      <c r="A213" s="1" t="s">
        <v>1231</v>
      </c>
      <c r="B213" s="1" t="s">
        <v>1232</v>
      </c>
      <c r="C213" s="1" t="s">
        <v>1233</v>
      </c>
      <c r="D213" s="1" t="s">
        <v>1234</v>
      </c>
      <c r="E213" s="1" t="s">
        <v>1235</v>
      </c>
      <c r="F213" s="1" t="s">
        <v>16</v>
      </c>
      <c r="G213" s="1" t="s">
        <v>17</v>
      </c>
      <c r="H213" s="1">
        <v>94112</v>
      </c>
      <c r="I213" s="1" t="s">
        <v>1236</v>
      </c>
      <c r="J213" s="35" t="s">
        <v>1237</v>
      </c>
      <c r="K213" s="9" t="s">
        <v>63</v>
      </c>
      <c r="L213" s="1" t="s">
        <v>1238</v>
      </c>
    </row>
    <row r="214" spans="1:12" s="1" customFormat="1" x14ac:dyDescent="0.25">
      <c r="C214" s="1" t="s">
        <v>1239</v>
      </c>
      <c r="D214" s="1" t="s">
        <v>1240</v>
      </c>
      <c r="E214" s="1" t="s">
        <v>1241</v>
      </c>
      <c r="F214" s="1" t="s">
        <v>16</v>
      </c>
      <c r="G214" s="1" t="s">
        <v>17</v>
      </c>
      <c r="H214" s="1">
        <v>94112</v>
      </c>
      <c r="I214" s="1" t="s">
        <v>1242</v>
      </c>
      <c r="J214" s="32" t="s">
        <v>1243</v>
      </c>
      <c r="K214" s="9" t="s">
        <v>63</v>
      </c>
      <c r="L214" s="1" t="s">
        <v>1244</v>
      </c>
    </row>
    <row r="215" spans="1:12" s="1" customFormat="1" x14ac:dyDescent="0.2">
      <c r="A215" s="1" t="s">
        <v>1245</v>
      </c>
      <c r="B215" s="1" t="s">
        <v>1246</v>
      </c>
      <c r="C215" s="1" t="str">
        <f>A215&amp;" "&amp;B215</f>
        <v>Delia Fitzpatrick</v>
      </c>
      <c r="D215" s="1" t="s">
        <v>1247</v>
      </c>
      <c r="E215" s="1" t="s">
        <v>1248</v>
      </c>
      <c r="F215" s="1" t="s">
        <v>16</v>
      </c>
      <c r="G215" s="1" t="s">
        <v>17</v>
      </c>
      <c r="H215" s="1">
        <v>94112</v>
      </c>
      <c r="I215" s="1" t="s">
        <v>1249</v>
      </c>
      <c r="J215" s="38" t="s">
        <v>1250</v>
      </c>
      <c r="K215" s="15" t="s">
        <v>63</v>
      </c>
      <c r="L215" s="1" t="s">
        <v>1251</v>
      </c>
    </row>
    <row r="216" spans="1:12" s="1" customFormat="1" ht="26.45" customHeight="1" x14ac:dyDescent="0.2">
      <c r="C216" s="1" t="s">
        <v>1252</v>
      </c>
      <c r="D216" s="1" t="s">
        <v>1253</v>
      </c>
      <c r="E216" s="1" t="s">
        <v>1254</v>
      </c>
      <c r="F216" s="1" t="s">
        <v>16</v>
      </c>
      <c r="G216" s="1" t="s">
        <v>17</v>
      </c>
      <c r="H216" s="1">
        <v>94112</v>
      </c>
      <c r="I216" s="1" t="s">
        <v>1255</v>
      </c>
      <c r="J216" s="35" t="s">
        <v>1256</v>
      </c>
      <c r="K216" s="15" t="s">
        <v>63</v>
      </c>
      <c r="L216" s="1" t="s">
        <v>598</v>
      </c>
    </row>
    <row r="217" spans="1:12" s="1" customFormat="1" ht="39.6" customHeight="1" x14ac:dyDescent="0.25">
      <c r="A217" s="1" t="s">
        <v>1257</v>
      </c>
      <c r="B217" s="1" t="s">
        <v>1258</v>
      </c>
      <c r="C217" s="1" t="str">
        <f>A217&amp;" "&amp;B217</f>
        <v>Anietie Ekanem</v>
      </c>
      <c r="D217" s="1" t="s">
        <v>1259</v>
      </c>
      <c r="E217" s="1" t="s">
        <v>1260</v>
      </c>
      <c r="F217" s="1" t="s">
        <v>16</v>
      </c>
      <c r="G217" s="1" t="s">
        <v>17</v>
      </c>
      <c r="H217" s="1">
        <v>94124</v>
      </c>
      <c r="I217" s="1" t="s">
        <v>1261</v>
      </c>
      <c r="J217" s="9" t="s">
        <v>1262</v>
      </c>
      <c r="K217" s="9" t="s">
        <v>63</v>
      </c>
      <c r="L217" s="1" t="s">
        <v>1263</v>
      </c>
    </row>
    <row r="218" spans="1:12" s="1" customFormat="1" ht="25.5" x14ac:dyDescent="0.25">
      <c r="A218" s="1" t="s">
        <v>1264</v>
      </c>
      <c r="B218" s="1" t="s">
        <v>1265</v>
      </c>
      <c r="C218" s="1" t="str">
        <f>A218&amp;" "&amp;B218</f>
        <v>Ethan Hough</v>
      </c>
      <c r="D218" s="1" t="s">
        <v>1266</v>
      </c>
      <c r="E218" s="1" t="s">
        <v>1267</v>
      </c>
      <c r="F218" s="1" t="s">
        <v>16</v>
      </c>
      <c r="G218" s="1" t="s">
        <v>17</v>
      </c>
      <c r="H218" s="1">
        <v>94105</v>
      </c>
      <c r="I218" s="1" t="s">
        <v>1268</v>
      </c>
      <c r="J218" s="9" t="s">
        <v>1269</v>
      </c>
      <c r="K218" s="9" t="s">
        <v>21</v>
      </c>
      <c r="L218" s="1" t="s">
        <v>1270</v>
      </c>
    </row>
    <row r="219" spans="1:12" s="1" customFormat="1" x14ac:dyDescent="0.25">
      <c r="C219" s="1" t="s">
        <v>1271</v>
      </c>
      <c r="D219" s="1" t="s">
        <v>1272</v>
      </c>
      <c r="E219" s="1" t="s">
        <v>438</v>
      </c>
      <c r="F219" s="1" t="s">
        <v>16</v>
      </c>
      <c r="G219" s="1" t="s">
        <v>17</v>
      </c>
      <c r="H219" s="1">
        <v>94116</v>
      </c>
      <c r="I219" s="1" t="s">
        <v>1273</v>
      </c>
      <c r="J219" s="9" t="s">
        <v>1274</v>
      </c>
      <c r="K219" s="9" t="s">
        <v>63</v>
      </c>
      <c r="L219" s="1" t="s">
        <v>668</v>
      </c>
    </row>
    <row r="220" spans="1:12" s="1" customFormat="1" x14ac:dyDescent="0.2">
      <c r="A220" s="1" t="s">
        <v>1275</v>
      </c>
      <c r="B220" s="1" t="s">
        <v>1276</v>
      </c>
      <c r="C220" s="1" t="str">
        <f>A220&amp;" "&amp;B220</f>
        <v>Roberto  Hernandez</v>
      </c>
      <c r="D220" s="1" t="s">
        <v>1277</v>
      </c>
      <c r="E220" s="1" t="s">
        <v>1278</v>
      </c>
      <c r="F220" s="1" t="s">
        <v>16</v>
      </c>
      <c r="G220" s="1" t="s">
        <v>17</v>
      </c>
      <c r="H220" s="1">
        <v>94110</v>
      </c>
      <c r="J220" s="17" t="s">
        <v>1279</v>
      </c>
      <c r="K220" s="15" t="s">
        <v>21</v>
      </c>
      <c r="L220" s="1" t="s">
        <v>64</v>
      </c>
    </row>
    <row r="221" spans="1:12" s="1" customFormat="1" ht="26.45" customHeight="1" x14ac:dyDescent="0.25">
      <c r="A221" s="1" t="s">
        <v>1280</v>
      </c>
      <c r="B221" s="1" t="s">
        <v>1281</v>
      </c>
      <c r="C221" s="1" t="str">
        <f>A221&amp;" "&amp;B221</f>
        <v>Joelle Kenealey</v>
      </c>
      <c r="D221" s="1" t="s">
        <v>1282</v>
      </c>
      <c r="E221" s="1" t="s">
        <v>1283</v>
      </c>
      <c r="F221" s="1" t="s">
        <v>16</v>
      </c>
      <c r="G221" s="1" t="s">
        <v>17</v>
      </c>
      <c r="H221" s="1">
        <v>94134</v>
      </c>
      <c r="I221" s="1" t="s">
        <v>1284</v>
      </c>
      <c r="J221" s="9" t="s">
        <v>1285</v>
      </c>
      <c r="K221" s="9" t="s">
        <v>21</v>
      </c>
      <c r="L221" s="1" t="s">
        <v>1286</v>
      </c>
    </row>
    <row r="222" spans="1:12" s="1" customFormat="1" x14ac:dyDescent="0.25">
      <c r="C222" s="1" t="s">
        <v>1287</v>
      </c>
      <c r="D222" s="1" t="s">
        <v>1288</v>
      </c>
      <c r="E222" s="1" t="s">
        <v>1289</v>
      </c>
      <c r="F222" s="1" t="s">
        <v>16</v>
      </c>
      <c r="G222" s="1" t="s">
        <v>17</v>
      </c>
      <c r="H222" s="1">
        <v>94122</v>
      </c>
      <c r="I222" s="1" t="s">
        <v>1290</v>
      </c>
      <c r="J222" s="9" t="s">
        <v>1291</v>
      </c>
      <c r="K222" s="9" t="s">
        <v>63</v>
      </c>
      <c r="L222" s="1" t="s">
        <v>668</v>
      </c>
    </row>
    <row r="223" spans="1:12" s="1" customFormat="1" ht="26.45" customHeight="1" x14ac:dyDescent="0.25">
      <c r="A223" s="1" t="s">
        <v>1292</v>
      </c>
      <c r="B223" s="1" t="s">
        <v>1293</v>
      </c>
      <c r="C223" s="1" t="str">
        <f>A223&amp;" "&amp;B223</f>
        <v>Susan Pfeifer</v>
      </c>
      <c r="D223" s="1" t="s">
        <v>1294</v>
      </c>
      <c r="E223" s="1" t="s">
        <v>1295</v>
      </c>
      <c r="F223" s="1" t="s">
        <v>16</v>
      </c>
      <c r="G223" s="1" t="s">
        <v>17</v>
      </c>
      <c r="H223" s="1">
        <v>94122</v>
      </c>
      <c r="I223" s="1" t="s">
        <v>1296</v>
      </c>
      <c r="J223" s="9" t="s">
        <v>1297</v>
      </c>
      <c r="K223" s="9" t="s">
        <v>21</v>
      </c>
      <c r="L223" s="1" t="s">
        <v>1298</v>
      </c>
    </row>
    <row r="224" spans="1:12" s="1" customFormat="1" ht="26.45" customHeight="1" x14ac:dyDescent="0.25">
      <c r="A224" s="1" t="s">
        <v>1299</v>
      </c>
      <c r="B224" s="1" t="s">
        <v>1300</v>
      </c>
      <c r="C224" s="1" t="str">
        <f>A224&amp;" "&amp;B224</f>
        <v>Doug Bird</v>
      </c>
      <c r="D224" s="1" t="s">
        <v>1301</v>
      </c>
      <c r="E224" s="1" t="s">
        <v>1302</v>
      </c>
      <c r="F224" s="1" t="s">
        <v>432</v>
      </c>
      <c r="G224" s="1" t="s">
        <v>17</v>
      </c>
      <c r="H224" s="1">
        <v>94122</v>
      </c>
      <c r="I224" s="1" t="s">
        <v>1303</v>
      </c>
      <c r="J224" s="9" t="s">
        <v>1304</v>
      </c>
      <c r="K224" s="9" t="s">
        <v>21</v>
      </c>
      <c r="L224" s="1" t="s">
        <v>1305</v>
      </c>
    </row>
    <row r="225" spans="1:12" s="1" customFormat="1" ht="26.45" customHeight="1" x14ac:dyDescent="0.25">
      <c r="A225" s="1" t="s">
        <v>1306</v>
      </c>
      <c r="B225" s="1" t="s">
        <v>1307</v>
      </c>
      <c r="C225" s="1" t="str">
        <f>A225&amp;" "&amp;B225</f>
        <v>Robyn Tucker</v>
      </c>
      <c r="D225" s="1" t="s">
        <v>1308</v>
      </c>
      <c r="E225" s="1" t="s">
        <v>1309</v>
      </c>
      <c r="F225" s="1" t="s">
        <v>16</v>
      </c>
      <c r="G225" s="1" t="s">
        <v>17</v>
      </c>
      <c r="H225" s="1" t="s">
        <v>1310</v>
      </c>
      <c r="I225" s="1" t="s">
        <v>1311</v>
      </c>
      <c r="J225" s="1" t="s">
        <v>1312</v>
      </c>
      <c r="K225" s="9" t="s">
        <v>21</v>
      </c>
      <c r="L225" s="1" t="s">
        <v>501</v>
      </c>
    </row>
    <row r="226" spans="1:12" s="1" customFormat="1" x14ac:dyDescent="0.25">
      <c r="A226" s="1" t="s">
        <v>1313</v>
      </c>
      <c r="B226" s="1" t="s">
        <v>1314</v>
      </c>
      <c r="C226" s="1" t="s">
        <v>1315</v>
      </c>
      <c r="D226" s="1" t="s">
        <v>1316</v>
      </c>
      <c r="E226" s="1" t="s">
        <v>1317</v>
      </c>
      <c r="F226" s="1" t="s">
        <v>16</v>
      </c>
      <c r="G226" s="1" t="s">
        <v>17</v>
      </c>
      <c r="H226" s="1" t="s">
        <v>849</v>
      </c>
      <c r="J226" s="1" t="s">
        <v>1318</v>
      </c>
      <c r="K226" s="1" t="s">
        <v>218</v>
      </c>
      <c r="L226" s="1" t="s">
        <v>1319</v>
      </c>
    </row>
    <row r="227" spans="1:12" s="1" customFormat="1" x14ac:dyDescent="0.25">
      <c r="A227" s="1" t="s">
        <v>1154</v>
      </c>
      <c r="B227" s="1" t="s">
        <v>1320</v>
      </c>
      <c r="C227" s="1" t="str">
        <f t="shared" ref="C227:C234" si="13">A227&amp;" "&amp;B227</f>
        <v>Cathy Lentz</v>
      </c>
      <c r="D227" s="1" t="s">
        <v>1321</v>
      </c>
      <c r="E227" s="1" t="s">
        <v>1322</v>
      </c>
      <c r="F227" s="1" t="s">
        <v>16</v>
      </c>
      <c r="G227" s="1" t="s">
        <v>17</v>
      </c>
      <c r="H227" s="1">
        <v>94132</v>
      </c>
      <c r="J227" s="9" t="s">
        <v>1323</v>
      </c>
      <c r="K227" s="9" t="s">
        <v>21</v>
      </c>
      <c r="L227" s="1" t="s">
        <v>1324</v>
      </c>
    </row>
    <row r="228" spans="1:12" s="1" customFormat="1" ht="39.6" customHeight="1" x14ac:dyDescent="0.25">
      <c r="A228" s="1" t="s">
        <v>782</v>
      </c>
      <c r="B228" s="1" t="s">
        <v>1325</v>
      </c>
      <c r="C228" s="1" t="str">
        <f t="shared" si="13"/>
        <v>Antonio Diaz</v>
      </c>
      <c r="D228" s="1" t="s">
        <v>1326</v>
      </c>
      <c r="E228" s="1" t="s">
        <v>1327</v>
      </c>
      <c r="F228" s="1" t="s">
        <v>16</v>
      </c>
      <c r="G228" s="1" t="s">
        <v>17</v>
      </c>
      <c r="H228" s="1" t="s">
        <v>103</v>
      </c>
      <c r="I228" s="1" t="s">
        <v>1328</v>
      </c>
      <c r="J228" s="9" t="s">
        <v>1329</v>
      </c>
      <c r="K228" s="9" t="s">
        <v>21</v>
      </c>
      <c r="L228" s="1" t="s">
        <v>1330</v>
      </c>
    </row>
    <row r="229" spans="1:12" s="1" customFormat="1" ht="26.45" customHeight="1" x14ac:dyDescent="0.2">
      <c r="A229" s="1" t="s">
        <v>1120</v>
      </c>
      <c r="B229" s="1" t="s">
        <v>1331</v>
      </c>
      <c r="C229" s="1" t="str">
        <f t="shared" si="13"/>
        <v>Dan Baroni</v>
      </c>
      <c r="D229" s="1" t="s">
        <v>1332</v>
      </c>
      <c r="E229" s="1" t="s">
        <v>1333</v>
      </c>
      <c r="F229" s="1" t="s">
        <v>16</v>
      </c>
      <c r="G229" s="1" t="s">
        <v>17</v>
      </c>
      <c r="H229" s="1" t="s">
        <v>1334</v>
      </c>
      <c r="I229" s="1" t="s">
        <v>1335</v>
      </c>
      <c r="J229" s="17" t="s">
        <v>1336</v>
      </c>
      <c r="K229" s="17" t="s">
        <v>63</v>
      </c>
      <c r="L229" s="1" t="s">
        <v>240</v>
      </c>
    </row>
    <row r="230" spans="1:12" s="1" customFormat="1" x14ac:dyDescent="0.2">
      <c r="A230" s="1" t="s">
        <v>1337</v>
      </c>
      <c r="B230" s="1" t="s">
        <v>1338</v>
      </c>
      <c r="C230" s="1" t="str">
        <f t="shared" si="13"/>
        <v>Maggie Weis</v>
      </c>
      <c r="D230" s="1" t="s">
        <v>1339</v>
      </c>
      <c r="E230" s="1" t="s">
        <v>1340</v>
      </c>
      <c r="F230" s="1" t="s">
        <v>16</v>
      </c>
      <c r="G230" s="1" t="s">
        <v>17</v>
      </c>
      <c r="H230" s="1">
        <v>94134</v>
      </c>
      <c r="J230" s="15" t="s">
        <v>1341</v>
      </c>
      <c r="K230" s="15" t="s">
        <v>63</v>
      </c>
      <c r="L230" s="1" t="s">
        <v>591</v>
      </c>
    </row>
    <row r="231" spans="1:12" s="1" customFormat="1" ht="25.5" x14ac:dyDescent="0.25">
      <c r="A231" s="1" t="s">
        <v>963</v>
      </c>
      <c r="B231" s="1" t="s">
        <v>1342</v>
      </c>
      <c r="C231" s="1" t="str">
        <f t="shared" si="13"/>
        <v>David Gilliam</v>
      </c>
      <c r="D231" s="1" t="s">
        <v>1343</v>
      </c>
      <c r="E231" s="1" t="s">
        <v>1344</v>
      </c>
      <c r="F231" s="1" t="s">
        <v>16</v>
      </c>
      <c r="G231" s="1" t="s">
        <v>17</v>
      </c>
      <c r="H231" s="1" t="s">
        <v>1345</v>
      </c>
      <c r="I231" s="1" t="s">
        <v>1346</v>
      </c>
      <c r="J231" s="9" t="s">
        <v>1347</v>
      </c>
      <c r="K231" s="1" t="s">
        <v>21</v>
      </c>
      <c r="L231" s="1" t="s">
        <v>56</v>
      </c>
    </row>
    <row r="232" spans="1:12" s="1" customFormat="1" ht="26.45" customHeight="1" x14ac:dyDescent="0.25">
      <c r="A232" s="1" t="s">
        <v>1348</v>
      </c>
      <c r="B232" s="1" t="s">
        <v>1349</v>
      </c>
      <c r="C232" s="1" t="str">
        <f t="shared" si="13"/>
        <v>J.R. Eppler</v>
      </c>
      <c r="D232" s="1" t="s">
        <v>1350</v>
      </c>
      <c r="E232" s="1" t="s">
        <v>1351</v>
      </c>
      <c r="F232" s="1" t="s">
        <v>16</v>
      </c>
      <c r="G232" s="1" t="s">
        <v>17</v>
      </c>
      <c r="H232" s="1">
        <v>94107</v>
      </c>
      <c r="I232" s="1" t="s">
        <v>1352</v>
      </c>
      <c r="J232" s="1" t="s">
        <v>1353</v>
      </c>
      <c r="K232" s="1" t="s">
        <v>63</v>
      </c>
      <c r="L232" s="1" t="s">
        <v>1354</v>
      </c>
    </row>
    <row r="233" spans="1:12" s="1" customFormat="1" x14ac:dyDescent="0.2">
      <c r="A233" s="1" t="s">
        <v>1355</v>
      </c>
      <c r="B233" s="1" t="s">
        <v>1356</v>
      </c>
      <c r="C233" s="1" t="str">
        <f t="shared" si="13"/>
        <v>Rodney Minott</v>
      </c>
      <c r="D233" s="1" t="s">
        <v>1357</v>
      </c>
      <c r="E233" s="1" t="s">
        <v>1358</v>
      </c>
      <c r="F233" s="1" t="s">
        <v>16</v>
      </c>
      <c r="G233" s="1" t="s">
        <v>17</v>
      </c>
      <c r="H233" s="1">
        <v>94107</v>
      </c>
      <c r="I233" s="1" t="s">
        <v>1359</v>
      </c>
      <c r="J233" s="17" t="s">
        <v>1360</v>
      </c>
      <c r="K233" s="1" t="s">
        <v>21</v>
      </c>
      <c r="L233" s="1" t="s">
        <v>1361</v>
      </c>
    </row>
    <row r="234" spans="1:12" s="1" customFormat="1" ht="26.45" customHeight="1" x14ac:dyDescent="0.2">
      <c r="A234" s="1" t="s">
        <v>1362</v>
      </c>
      <c r="B234" s="1" t="s">
        <v>1363</v>
      </c>
      <c r="C234" s="1" t="str">
        <f t="shared" si="13"/>
        <v>Ron Blatman</v>
      </c>
      <c r="D234" s="1" t="s">
        <v>1364</v>
      </c>
      <c r="E234" s="1" t="s">
        <v>1365</v>
      </c>
      <c r="F234" s="1" t="s">
        <v>16</v>
      </c>
      <c r="G234" s="1" t="s">
        <v>17</v>
      </c>
      <c r="H234" s="1" t="s">
        <v>1366</v>
      </c>
      <c r="I234" s="1" t="s">
        <v>1367</v>
      </c>
      <c r="J234" s="17" t="s">
        <v>1368</v>
      </c>
      <c r="K234" s="17" t="s">
        <v>63</v>
      </c>
      <c r="L234" s="1" t="s">
        <v>294</v>
      </c>
    </row>
    <row r="235" spans="1:12" s="1" customFormat="1" ht="33" customHeight="1" x14ac:dyDescent="0.2">
      <c r="C235" s="1" t="s">
        <v>1369</v>
      </c>
      <c r="D235" s="1" t="s">
        <v>1370</v>
      </c>
      <c r="E235" s="1" t="s">
        <v>1371</v>
      </c>
      <c r="F235" s="1" t="s">
        <v>16</v>
      </c>
      <c r="G235" s="1" t="s">
        <v>17</v>
      </c>
      <c r="H235" s="1">
        <v>94124</v>
      </c>
      <c r="I235" s="1" t="s">
        <v>1372</v>
      </c>
      <c r="J235" s="15" t="s">
        <v>1373</v>
      </c>
      <c r="K235" s="9" t="s">
        <v>63</v>
      </c>
      <c r="L235" s="1" t="s">
        <v>56</v>
      </c>
    </row>
    <row r="236" spans="1:12" s="1" customFormat="1" ht="25.5" x14ac:dyDescent="0.2">
      <c r="A236" s="1" t="s">
        <v>599</v>
      </c>
      <c r="B236" s="1" t="s">
        <v>1374</v>
      </c>
      <c r="C236" s="1" t="str">
        <f>A236&amp;" "&amp;B236</f>
        <v>Jonathan Axelrad</v>
      </c>
      <c r="D236" s="1" t="s">
        <v>1375</v>
      </c>
      <c r="E236" s="1" t="s">
        <v>1376</v>
      </c>
      <c r="F236" s="1" t="s">
        <v>16</v>
      </c>
      <c r="G236" s="1" t="s">
        <v>17</v>
      </c>
      <c r="H236" s="1">
        <v>94131</v>
      </c>
      <c r="I236" s="1" t="s">
        <v>1377</v>
      </c>
      <c r="J236" s="15" t="s">
        <v>1378</v>
      </c>
      <c r="K236" s="15" t="s">
        <v>63</v>
      </c>
      <c r="L236" s="1" t="s">
        <v>49</v>
      </c>
    </row>
    <row r="237" spans="1:12" s="1" customFormat="1" x14ac:dyDescent="0.2">
      <c r="A237" s="1" t="s">
        <v>1060</v>
      </c>
      <c r="B237" s="1" t="s">
        <v>1379</v>
      </c>
      <c r="C237" s="1" t="str">
        <f>A237&amp;" "&amp;B237</f>
        <v>Joseph Smooke</v>
      </c>
      <c r="D237" s="1" t="s">
        <v>1380</v>
      </c>
      <c r="E237" s="1" t="s">
        <v>1381</v>
      </c>
      <c r="F237" s="1" t="s">
        <v>16</v>
      </c>
      <c r="G237" s="1" t="s">
        <v>17</v>
      </c>
      <c r="H237" s="1">
        <v>94118</v>
      </c>
      <c r="I237" s="1" t="s">
        <v>1382</v>
      </c>
      <c r="J237" s="15" t="s">
        <v>1383</v>
      </c>
      <c r="K237" s="15" t="s">
        <v>63</v>
      </c>
      <c r="L237" s="1" t="s">
        <v>1053</v>
      </c>
    </row>
    <row r="238" spans="1:12" s="1" customFormat="1" x14ac:dyDescent="0.25">
      <c r="A238" s="1" t="s">
        <v>1384</v>
      </c>
      <c r="B238" s="1" t="s">
        <v>1385</v>
      </c>
      <c r="C238" s="1" t="str">
        <f>A238&amp;" "&amp;B238</f>
        <v>Kathleen Courtney</v>
      </c>
      <c r="D238" s="1" t="s">
        <v>1386</v>
      </c>
      <c r="E238" s="1" t="s">
        <v>1387</v>
      </c>
      <c r="F238" s="1" t="s">
        <v>16</v>
      </c>
      <c r="G238" s="1" t="s">
        <v>17</v>
      </c>
      <c r="H238" s="1" t="s">
        <v>1310</v>
      </c>
      <c r="I238" s="1" t="s">
        <v>1388</v>
      </c>
      <c r="J238" s="1" t="s">
        <v>1389</v>
      </c>
      <c r="K238" s="1" t="s">
        <v>63</v>
      </c>
      <c r="L238" s="1" t="s">
        <v>501</v>
      </c>
    </row>
    <row r="239" spans="1:12" s="1" customFormat="1" x14ac:dyDescent="0.25">
      <c r="C239" s="1" t="s">
        <v>1390</v>
      </c>
      <c r="D239" s="1" t="s">
        <v>1391</v>
      </c>
      <c r="E239" s="1" t="s">
        <v>1392</v>
      </c>
      <c r="F239" s="1" t="s">
        <v>16</v>
      </c>
      <c r="G239" s="1" t="s">
        <v>17</v>
      </c>
      <c r="H239" s="1">
        <v>94147</v>
      </c>
      <c r="I239" s="1" t="s">
        <v>1393</v>
      </c>
      <c r="J239" s="9" t="s">
        <v>1394</v>
      </c>
      <c r="K239" s="9" t="s">
        <v>21</v>
      </c>
      <c r="L239" s="1" t="s">
        <v>952</v>
      </c>
    </row>
    <row r="240" spans="1:12" s="1" customFormat="1" x14ac:dyDescent="0.25">
      <c r="A240" s="1" t="s">
        <v>1395</v>
      </c>
      <c r="B240" s="1" t="s">
        <v>1396</v>
      </c>
      <c r="C240" s="1" t="str">
        <f>A240&amp;" "&amp;B240</f>
        <v>Robert Bluhm</v>
      </c>
      <c r="D240" s="1" t="s">
        <v>1397</v>
      </c>
      <c r="E240" s="1" t="s">
        <v>1398</v>
      </c>
      <c r="F240" s="1" t="s">
        <v>16</v>
      </c>
      <c r="G240" s="1" t="s">
        <v>17</v>
      </c>
      <c r="H240" s="1">
        <v>94109</v>
      </c>
      <c r="J240" s="9" t="s">
        <v>1399</v>
      </c>
      <c r="K240" s="9" t="s">
        <v>63</v>
      </c>
      <c r="L240" s="1" t="s">
        <v>952</v>
      </c>
    </row>
    <row r="241" spans="1:12" s="1" customFormat="1" ht="26.45" customHeight="1" x14ac:dyDescent="0.25">
      <c r="A241" s="1" t="s">
        <v>1400</v>
      </c>
      <c r="B241" s="1" t="s">
        <v>1401</v>
      </c>
      <c r="C241" s="1" t="str">
        <f>A241&amp;" "&amp;B241</f>
        <v>Traci Teraoka</v>
      </c>
      <c r="D241" s="1" t="s">
        <v>1402</v>
      </c>
      <c r="E241" s="1" t="s">
        <v>1403</v>
      </c>
      <c r="F241" s="1" t="s">
        <v>16</v>
      </c>
      <c r="G241" s="1" t="s">
        <v>17</v>
      </c>
      <c r="H241" s="1">
        <v>94118</v>
      </c>
      <c r="J241" s="9" t="s">
        <v>1404</v>
      </c>
      <c r="K241" s="9" t="s">
        <v>21</v>
      </c>
      <c r="L241" s="1" t="s">
        <v>294</v>
      </c>
    </row>
    <row r="242" spans="1:12" s="1" customFormat="1" x14ac:dyDescent="0.25">
      <c r="A242" s="1" t="s">
        <v>1405</v>
      </c>
      <c r="B242" s="1" t="s">
        <v>1406</v>
      </c>
      <c r="C242" s="1" t="str">
        <f>A242&amp;" "&amp;B242</f>
        <v>Patsy Tito</v>
      </c>
      <c r="D242" s="1" t="s">
        <v>1407</v>
      </c>
      <c r="E242" s="1" t="s">
        <v>1408</v>
      </c>
      <c r="F242" s="1" t="s">
        <v>16</v>
      </c>
      <c r="G242" s="1" t="s">
        <v>17</v>
      </c>
      <c r="H242" s="1" t="s">
        <v>1409</v>
      </c>
      <c r="K242" s="9" t="s">
        <v>21</v>
      </c>
      <c r="L242" s="1" t="s">
        <v>1410</v>
      </c>
    </row>
    <row r="243" spans="1:12" s="1" customFormat="1" x14ac:dyDescent="0.2">
      <c r="A243" s="1" t="s">
        <v>1411</v>
      </c>
      <c r="B243" s="1" t="s">
        <v>1412</v>
      </c>
      <c r="C243" s="1" t="str">
        <f>A243&amp;" "&amp;B243</f>
        <v>Layla Stanley</v>
      </c>
      <c r="D243" s="1" t="s">
        <v>1413</v>
      </c>
      <c r="E243" s="1" t="s">
        <v>1414</v>
      </c>
      <c r="F243" s="1" t="s">
        <v>16</v>
      </c>
      <c r="G243" s="1" t="s">
        <v>17</v>
      </c>
      <c r="H243" s="1" t="s">
        <v>186</v>
      </c>
      <c r="I243" s="1" t="s">
        <v>1415</v>
      </c>
      <c r="J243" s="15" t="s">
        <v>1416</v>
      </c>
      <c r="K243" s="17" t="s">
        <v>63</v>
      </c>
      <c r="L243" s="1" t="s">
        <v>22</v>
      </c>
    </row>
    <row r="244" spans="1:12" s="1" customFormat="1" ht="30" customHeight="1" x14ac:dyDescent="0.2">
      <c r="A244" s="1" t="s">
        <v>35</v>
      </c>
      <c r="B244" s="1" t="s">
        <v>36</v>
      </c>
      <c r="C244" s="1" t="str">
        <f>A244&amp;" "&amp;B244</f>
        <v>Sue Hestor</v>
      </c>
      <c r="D244" s="1" t="s">
        <v>1417</v>
      </c>
      <c r="E244" s="34" t="s">
        <v>1859</v>
      </c>
      <c r="F244" s="1" t="s">
        <v>16</v>
      </c>
      <c r="G244" s="1" t="s">
        <v>17</v>
      </c>
      <c r="H244" s="1">
        <v>94110</v>
      </c>
      <c r="I244" s="1" t="s">
        <v>1860</v>
      </c>
      <c r="J244" s="46" t="s">
        <v>38</v>
      </c>
      <c r="K244" s="15" t="s">
        <v>218</v>
      </c>
      <c r="L244" s="1" t="s">
        <v>1858</v>
      </c>
    </row>
    <row r="245" spans="1:12" s="1" customFormat="1" ht="14.45" customHeight="1" x14ac:dyDescent="0.25">
      <c r="C245" s="1" t="s">
        <v>1418</v>
      </c>
      <c r="D245" s="1" t="s">
        <v>1419</v>
      </c>
      <c r="E245" s="1" t="s">
        <v>1420</v>
      </c>
      <c r="F245" s="1" t="s">
        <v>432</v>
      </c>
      <c r="G245" s="1" t="s">
        <v>17</v>
      </c>
      <c r="H245" s="1">
        <v>94123</v>
      </c>
      <c r="I245" s="1" t="s">
        <v>1421</v>
      </c>
      <c r="J245" s="41" t="s">
        <v>1422</v>
      </c>
      <c r="K245" s="15" t="s">
        <v>21</v>
      </c>
      <c r="L245" s="1" t="s">
        <v>454</v>
      </c>
    </row>
    <row r="246" spans="1:12" s="1" customFormat="1" x14ac:dyDescent="0.2">
      <c r="A246" s="1" t="s">
        <v>1078</v>
      </c>
      <c r="B246" s="1" t="s">
        <v>1423</v>
      </c>
      <c r="C246" s="1" t="str">
        <f>A246&amp;" "&amp;B246</f>
        <v>Peter Tempel</v>
      </c>
      <c r="D246" s="1" t="s">
        <v>1424</v>
      </c>
      <c r="E246" s="1" t="s">
        <v>1425</v>
      </c>
      <c r="F246" s="1" t="s">
        <v>16</v>
      </c>
      <c r="G246" s="1" t="s">
        <v>17</v>
      </c>
      <c r="H246" s="1">
        <v>94121</v>
      </c>
      <c r="I246" s="1" t="s">
        <v>1426</v>
      </c>
      <c r="J246" s="15" t="s">
        <v>1427</v>
      </c>
      <c r="K246" s="15" t="s">
        <v>63</v>
      </c>
      <c r="L246" s="1" t="s">
        <v>938</v>
      </c>
    </row>
    <row r="247" spans="1:12" s="1" customFormat="1" ht="39.6" customHeight="1" x14ac:dyDescent="0.2">
      <c r="A247" s="1" t="s">
        <v>1428</v>
      </c>
      <c r="B247" s="1" t="s">
        <v>1429</v>
      </c>
      <c r="C247" s="1" t="str">
        <f>A247&amp;" "&amp;B247</f>
        <v>Anni Chung</v>
      </c>
      <c r="D247" s="1" t="s">
        <v>1430</v>
      </c>
      <c r="E247" s="1" t="s">
        <v>1431</v>
      </c>
      <c r="F247" s="1" t="s">
        <v>16</v>
      </c>
      <c r="G247" s="1" t="s">
        <v>17</v>
      </c>
      <c r="H247" s="1" t="s">
        <v>1432</v>
      </c>
      <c r="I247" s="1" t="s">
        <v>1433</v>
      </c>
      <c r="J247" s="17" t="s">
        <v>1434</v>
      </c>
      <c r="K247" s="17" t="s">
        <v>63</v>
      </c>
      <c r="L247" s="1" t="s">
        <v>1435</v>
      </c>
    </row>
    <row r="248" spans="1:12" s="1" customFormat="1" ht="26.45" customHeight="1" x14ac:dyDescent="0.2">
      <c r="A248" s="1" t="s">
        <v>1436</v>
      </c>
      <c r="B248" s="1" t="s">
        <v>1437</v>
      </c>
      <c r="C248" s="1" t="str">
        <f>A248&amp;" "&amp;B248</f>
        <v>Nube Brown</v>
      </c>
      <c r="D248" s="1" t="s">
        <v>1438</v>
      </c>
      <c r="E248" s="1" t="s">
        <v>1439</v>
      </c>
      <c r="F248" s="1" t="s">
        <v>16</v>
      </c>
      <c r="G248" s="1" t="s">
        <v>17</v>
      </c>
      <c r="H248" s="1" t="s">
        <v>111</v>
      </c>
      <c r="I248" s="1" t="s">
        <v>1440</v>
      </c>
      <c r="J248" s="17" t="s">
        <v>1441</v>
      </c>
      <c r="K248" s="17" t="s">
        <v>63</v>
      </c>
      <c r="L248" s="1" t="s">
        <v>219</v>
      </c>
    </row>
    <row r="249" spans="1:12" s="1" customFormat="1" x14ac:dyDescent="0.2">
      <c r="C249" s="1" t="s">
        <v>1442</v>
      </c>
      <c r="D249" s="1" t="s">
        <v>1443</v>
      </c>
      <c r="E249" s="1" t="s">
        <v>1444</v>
      </c>
      <c r="F249" s="1" t="s">
        <v>16</v>
      </c>
      <c r="G249" s="1" t="s">
        <v>17</v>
      </c>
      <c r="H249" s="1">
        <v>94124</v>
      </c>
      <c r="I249" s="1" t="s">
        <v>1445</v>
      </c>
      <c r="J249" s="17" t="s">
        <v>1446</v>
      </c>
      <c r="K249" s="17" t="s">
        <v>63</v>
      </c>
      <c r="L249" s="1" t="s">
        <v>56</v>
      </c>
    </row>
    <row r="250" spans="1:12" s="1" customFormat="1" ht="26.45" customHeight="1" x14ac:dyDescent="0.25">
      <c r="A250" s="1" t="s">
        <v>1447</v>
      </c>
      <c r="B250" s="1" t="s">
        <v>1448</v>
      </c>
      <c r="C250" s="1" t="str">
        <f t="shared" ref="C250:C255" si="14">A250&amp;" "&amp;B250</f>
        <v>Tim Paulson Rudy Gonzalez</v>
      </c>
      <c r="D250" s="1" t="s">
        <v>1449</v>
      </c>
      <c r="E250" s="1" t="s">
        <v>1450</v>
      </c>
      <c r="F250" s="1" t="s">
        <v>16</v>
      </c>
      <c r="G250" s="1" t="s">
        <v>17</v>
      </c>
      <c r="H250" s="1" t="s">
        <v>1310</v>
      </c>
      <c r="I250" s="1" t="s">
        <v>1451</v>
      </c>
      <c r="J250" s="1" t="s">
        <v>1452</v>
      </c>
      <c r="K250" s="9" t="s">
        <v>21</v>
      </c>
      <c r="L250" s="1" t="s">
        <v>22</v>
      </c>
    </row>
    <row r="251" spans="1:12" s="1" customFormat="1" ht="39.6" customHeight="1" x14ac:dyDescent="0.25">
      <c r="A251" s="1" t="s">
        <v>963</v>
      </c>
      <c r="B251" s="1" t="s">
        <v>1453</v>
      </c>
      <c r="C251" s="1" t="str">
        <f t="shared" si="14"/>
        <v>David Lal</v>
      </c>
      <c r="D251" s="1" t="s">
        <v>1454</v>
      </c>
      <c r="E251" s="1" t="s">
        <v>1455</v>
      </c>
      <c r="F251" s="1" t="s">
        <v>16</v>
      </c>
      <c r="G251" s="1" t="s">
        <v>17</v>
      </c>
      <c r="H251" s="1">
        <v>94103</v>
      </c>
      <c r="I251" s="1" t="s">
        <v>1456</v>
      </c>
      <c r="J251" s="9" t="s">
        <v>1457</v>
      </c>
      <c r="K251" s="9" t="s">
        <v>21</v>
      </c>
      <c r="L251" s="1" t="s">
        <v>1458</v>
      </c>
    </row>
    <row r="252" spans="1:12" s="1" customFormat="1" ht="26.45" customHeight="1" x14ac:dyDescent="0.25">
      <c r="A252" s="1" t="s">
        <v>1459</v>
      </c>
      <c r="B252" s="1" t="s">
        <v>1460</v>
      </c>
      <c r="C252" s="1" t="str">
        <f t="shared" si="14"/>
        <v>Matthew Steen</v>
      </c>
      <c r="D252" s="1" t="s">
        <v>1461</v>
      </c>
      <c r="E252" s="1" t="s">
        <v>1462</v>
      </c>
      <c r="F252" s="1" t="s">
        <v>16</v>
      </c>
      <c r="G252" s="1" t="s">
        <v>17</v>
      </c>
      <c r="H252" s="1">
        <v>94146</v>
      </c>
      <c r="I252" s="1" t="s">
        <v>1463</v>
      </c>
      <c r="J252" s="9" t="s">
        <v>1464</v>
      </c>
      <c r="K252" s="9" t="s">
        <v>63</v>
      </c>
      <c r="L252" s="1" t="s">
        <v>141</v>
      </c>
    </row>
    <row r="253" spans="1:12" s="1" customFormat="1" ht="26.45" customHeight="1" x14ac:dyDescent="0.25">
      <c r="A253" s="1" t="s">
        <v>384</v>
      </c>
      <c r="B253" s="1" t="s">
        <v>1465</v>
      </c>
      <c r="C253" s="1" t="str">
        <f t="shared" si="14"/>
        <v>Cynthia Dillard</v>
      </c>
      <c r="D253" s="1" t="s">
        <v>1466</v>
      </c>
      <c r="E253" s="1" t="s">
        <v>1467</v>
      </c>
      <c r="F253" s="1" t="s">
        <v>16</v>
      </c>
      <c r="G253" s="1" t="s">
        <v>17</v>
      </c>
      <c r="H253" s="1">
        <v>94112</v>
      </c>
      <c r="I253" s="1" t="s">
        <v>1468</v>
      </c>
      <c r="J253" s="9" t="s">
        <v>1469</v>
      </c>
      <c r="K253" s="9" t="s">
        <v>63</v>
      </c>
      <c r="L253" s="1" t="s">
        <v>64</v>
      </c>
    </row>
    <row r="254" spans="1:12" s="1" customFormat="1" ht="26.45" customHeight="1" x14ac:dyDescent="0.25">
      <c r="A254" s="1" t="s">
        <v>288</v>
      </c>
      <c r="B254" s="1" t="s">
        <v>1470</v>
      </c>
      <c r="C254" s="1" t="str">
        <f t="shared" si="14"/>
        <v>Alex Lantsberg</v>
      </c>
      <c r="D254" s="1" t="s">
        <v>1471</v>
      </c>
      <c r="E254" s="1" t="s">
        <v>1472</v>
      </c>
      <c r="F254" s="1" t="s">
        <v>16</v>
      </c>
      <c r="G254" s="1" t="s">
        <v>17</v>
      </c>
      <c r="H254" s="1">
        <v>94117</v>
      </c>
      <c r="I254" s="1" t="s">
        <v>1473</v>
      </c>
      <c r="J254" s="9" t="s">
        <v>1474</v>
      </c>
      <c r="K254" s="9" t="s">
        <v>63</v>
      </c>
      <c r="L254" s="1" t="s">
        <v>22</v>
      </c>
    </row>
    <row r="255" spans="1:12" s="1" customFormat="1" ht="66" customHeight="1" x14ac:dyDescent="0.25">
      <c r="A255" s="1" t="s">
        <v>1475</v>
      </c>
      <c r="B255" s="1" t="s">
        <v>1476</v>
      </c>
      <c r="C255" s="1" t="str">
        <f t="shared" si="14"/>
        <v>Gary Weiss</v>
      </c>
      <c r="D255" s="1" t="s">
        <v>1477</v>
      </c>
      <c r="E255" s="1" t="s">
        <v>1478</v>
      </c>
      <c r="F255" s="1" t="s">
        <v>16</v>
      </c>
      <c r="G255" s="1" t="s">
        <v>17</v>
      </c>
      <c r="H255" s="1">
        <v>94114</v>
      </c>
      <c r="I255" s="1" t="s">
        <v>1479</v>
      </c>
      <c r="J255" s="9" t="s">
        <v>1480</v>
      </c>
      <c r="K255" s="9" t="s">
        <v>63</v>
      </c>
      <c r="L255" s="1" t="s">
        <v>1481</v>
      </c>
    </row>
    <row r="256" spans="1:12" s="1" customFormat="1" x14ac:dyDescent="0.25">
      <c r="C256" s="1" t="s">
        <v>1482</v>
      </c>
      <c r="D256" s="1" t="s">
        <v>1483</v>
      </c>
      <c r="E256" s="1" t="s">
        <v>1484</v>
      </c>
      <c r="F256" s="1" t="s">
        <v>16</v>
      </c>
      <c r="G256" s="1" t="s">
        <v>17</v>
      </c>
      <c r="H256" s="1">
        <v>94103</v>
      </c>
      <c r="I256" s="1" t="s">
        <v>1485</v>
      </c>
      <c r="J256" s="9" t="s">
        <v>1486</v>
      </c>
      <c r="K256" s="9" t="s">
        <v>63</v>
      </c>
      <c r="L256" s="1" t="s">
        <v>22</v>
      </c>
    </row>
    <row r="257" spans="1:12" s="1" customFormat="1" ht="26.45" customHeight="1" x14ac:dyDescent="0.25">
      <c r="C257" s="1" t="s">
        <v>1487</v>
      </c>
      <c r="D257" s="1" t="s">
        <v>1488</v>
      </c>
      <c r="E257" s="1" t="s">
        <v>1489</v>
      </c>
      <c r="F257" s="1" t="s">
        <v>16</v>
      </c>
      <c r="G257" s="1" t="s">
        <v>17</v>
      </c>
      <c r="H257" s="1">
        <v>94188</v>
      </c>
      <c r="I257" s="1" t="s">
        <v>1490</v>
      </c>
      <c r="J257" s="9" t="s">
        <v>1491</v>
      </c>
      <c r="K257" s="9" t="s">
        <v>63</v>
      </c>
      <c r="L257" s="1" t="s">
        <v>1492</v>
      </c>
    </row>
    <row r="258" spans="1:12" s="1" customFormat="1" x14ac:dyDescent="0.2">
      <c r="A258" s="1" t="s">
        <v>1493</v>
      </c>
      <c r="B258" s="1" t="s">
        <v>1494</v>
      </c>
      <c r="C258" s="1" t="str">
        <f>A258&amp;" "&amp;B258</f>
        <v>Maverick Madison</v>
      </c>
      <c r="D258" s="1" t="s">
        <v>1495</v>
      </c>
      <c r="E258" s="1" t="s">
        <v>1496</v>
      </c>
      <c r="F258" s="1" t="s">
        <v>16</v>
      </c>
      <c r="G258" s="1" t="s">
        <v>17</v>
      </c>
      <c r="H258" s="1" t="s">
        <v>111</v>
      </c>
      <c r="I258" s="1" t="s">
        <v>1497</v>
      </c>
      <c r="J258" s="17" t="s">
        <v>1498</v>
      </c>
      <c r="K258" s="17" t="s">
        <v>21</v>
      </c>
      <c r="L258" s="1" t="s">
        <v>56</v>
      </c>
    </row>
    <row r="259" spans="1:12" s="1" customFormat="1" ht="26.45" customHeight="1" x14ac:dyDescent="0.25">
      <c r="A259" s="1" t="s">
        <v>879</v>
      </c>
      <c r="B259" s="1" t="s">
        <v>1499</v>
      </c>
      <c r="C259" s="1" t="str">
        <f>A259&amp;" "&amp;B259</f>
        <v>Bill Tannenbaum</v>
      </c>
      <c r="D259" s="1" t="s">
        <v>1500</v>
      </c>
      <c r="E259" s="1" t="s">
        <v>1501</v>
      </c>
      <c r="F259" s="1" t="s">
        <v>16</v>
      </c>
      <c r="G259" s="1" t="s">
        <v>17</v>
      </c>
      <c r="H259" s="1" t="s">
        <v>312</v>
      </c>
      <c r="I259" s="1" t="s">
        <v>1502</v>
      </c>
      <c r="J259" s="1" t="s">
        <v>1503</v>
      </c>
      <c r="K259" s="1" t="s">
        <v>63</v>
      </c>
      <c r="L259" s="1" t="s">
        <v>280</v>
      </c>
    </row>
    <row r="260" spans="1:12" s="1" customFormat="1" ht="26.45" customHeight="1" x14ac:dyDescent="0.25">
      <c r="A260" s="1" t="s">
        <v>1187</v>
      </c>
      <c r="B260" s="1" t="s">
        <v>1504</v>
      </c>
      <c r="C260" s="1" t="str">
        <f>A260&amp;" "&amp;B260</f>
        <v>Danny Campbell</v>
      </c>
      <c r="D260" s="1" t="s">
        <v>1505</v>
      </c>
      <c r="E260" s="1" t="s">
        <v>1506</v>
      </c>
      <c r="F260" s="1" t="s">
        <v>16</v>
      </c>
      <c r="G260" s="1" t="s">
        <v>17</v>
      </c>
      <c r="H260" s="1">
        <v>94103</v>
      </c>
      <c r="I260" s="1" t="s">
        <v>1507</v>
      </c>
      <c r="J260" s="9" t="s">
        <v>1508</v>
      </c>
      <c r="K260" s="9" t="s">
        <v>63</v>
      </c>
      <c r="L260" s="1" t="s">
        <v>22</v>
      </c>
    </row>
    <row r="261" spans="1:12" s="1" customFormat="1" ht="118.9" customHeight="1" x14ac:dyDescent="0.25">
      <c r="A261" s="1" t="s">
        <v>1509</v>
      </c>
      <c r="B261" s="1" t="s">
        <v>1510</v>
      </c>
      <c r="C261" s="1" t="str">
        <f>A261&amp;" "&amp;B261</f>
        <v>Francesca Panullo</v>
      </c>
      <c r="D261" s="1" t="s">
        <v>1511</v>
      </c>
      <c r="E261" s="1" t="s">
        <v>1512</v>
      </c>
      <c r="F261" s="1" t="s">
        <v>16</v>
      </c>
      <c r="G261" s="1" t="s">
        <v>17</v>
      </c>
      <c r="H261" s="1">
        <v>94112</v>
      </c>
      <c r="I261" s="1" t="s">
        <v>1513</v>
      </c>
      <c r="J261" s="9" t="s">
        <v>1514</v>
      </c>
      <c r="K261" s="9" t="s">
        <v>21</v>
      </c>
      <c r="L261" s="1" t="s">
        <v>1515</v>
      </c>
    </row>
    <row r="262" spans="1:12" s="1" customFormat="1" ht="26.45" customHeight="1" x14ac:dyDescent="0.2">
      <c r="A262" s="1" t="s">
        <v>1516</v>
      </c>
      <c r="B262" s="1" t="s">
        <v>1517</v>
      </c>
      <c r="C262" s="1" t="str">
        <f>A262&amp;" "&amp;B262</f>
        <v>Tom Hoshiyama / Hiliarie Connolly</v>
      </c>
      <c r="D262" s="1" t="s">
        <v>1518</v>
      </c>
      <c r="E262" s="1" t="s">
        <v>1519</v>
      </c>
      <c r="F262" s="1" t="s">
        <v>16</v>
      </c>
      <c r="G262" s="1" t="s">
        <v>17</v>
      </c>
      <c r="H262" s="1">
        <v>94127</v>
      </c>
      <c r="I262" s="1" t="s">
        <v>1520</v>
      </c>
      <c r="J262" s="17" t="s">
        <v>1521</v>
      </c>
      <c r="K262" s="9" t="s">
        <v>63</v>
      </c>
      <c r="L262" s="1" t="s">
        <v>1522</v>
      </c>
    </row>
    <row r="263" spans="1:12" s="1" customFormat="1" ht="26.45" customHeight="1" x14ac:dyDescent="0.2">
      <c r="C263" s="1" t="s">
        <v>1523</v>
      </c>
      <c r="D263" s="1" t="s">
        <v>1524</v>
      </c>
      <c r="E263" s="1" t="s">
        <v>1525</v>
      </c>
      <c r="F263" s="1" t="s">
        <v>16</v>
      </c>
      <c r="G263" s="1" t="s">
        <v>17</v>
      </c>
      <c r="H263" s="1">
        <v>94117</v>
      </c>
      <c r="I263" s="1" t="s">
        <v>1526</v>
      </c>
      <c r="J263" s="15" t="s">
        <v>1527</v>
      </c>
      <c r="K263" s="9" t="s">
        <v>218</v>
      </c>
      <c r="L263" s="1" t="s">
        <v>1528</v>
      </c>
    </row>
    <row r="264" spans="1:12" s="1" customFormat="1" x14ac:dyDescent="0.2">
      <c r="A264" s="1" t="s">
        <v>1529</v>
      </c>
      <c r="B264" s="1" t="s">
        <v>1530</v>
      </c>
      <c r="C264" s="1" t="str">
        <f>A264&amp;" "&amp;B264</f>
        <v>Jaime Whitaker</v>
      </c>
      <c r="D264" s="1" t="s">
        <v>1531</v>
      </c>
      <c r="E264" s="1" t="s">
        <v>1532</v>
      </c>
      <c r="F264" s="1" t="s">
        <v>16</v>
      </c>
      <c r="G264" s="1" t="s">
        <v>17</v>
      </c>
      <c r="H264" s="1">
        <v>94105</v>
      </c>
      <c r="I264" s="1" t="s">
        <v>1533</v>
      </c>
      <c r="J264" s="17" t="s">
        <v>1534</v>
      </c>
      <c r="K264" s="15" t="s">
        <v>21</v>
      </c>
      <c r="L264" s="1" t="s">
        <v>1535</v>
      </c>
    </row>
    <row r="265" spans="1:12" s="1" customFormat="1" x14ac:dyDescent="0.2">
      <c r="A265" s="1" t="s">
        <v>281</v>
      </c>
      <c r="B265" s="1" t="s">
        <v>1536</v>
      </c>
      <c r="C265" s="1" t="str">
        <f>A265&amp;" "&amp;B265</f>
        <v>John Valdez</v>
      </c>
      <c r="D265" s="1" t="s">
        <v>1537</v>
      </c>
      <c r="E265" s="1" t="s">
        <v>1538</v>
      </c>
      <c r="F265" s="1" t="s">
        <v>16</v>
      </c>
      <c r="G265" s="1" t="s">
        <v>17</v>
      </c>
      <c r="H265" s="1">
        <v>94107</v>
      </c>
      <c r="I265" s="1" t="s">
        <v>1539</v>
      </c>
      <c r="J265" s="15" t="s">
        <v>1540</v>
      </c>
      <c r="K265" s="15" t="s">
        <v>63</v>
      </c>
      <c r="L265" s="1" t="s">
        <v>22</v>
      </c>
    </row>
    <row r="266" spans="1:12" s="1" customFormat="1" ht="26.45" customHeight="1" x14ac:dyDescent="0.2">
      <c r="C266" s="1" t="s">
        <v>1541</v>
      </c>
      <c r="D266" s="1" t="s">
        <v>1542</v>
      </c>
      <c r="E266" s="1" t="s">
        <v>1543</v>
      </c>
      <c r="F266" s="1" t="s">
        <v>432</v>
      </c>
      <c r="G266" s="1" t="s">
        <v>17</v>
      </c>
      <c r="H266" s="1">
        <v>94103</v>
      </c>
      <c r="J266" s="15" t="s">
        <v>1544</v>
      </c>
      <c r="K266" s="15" t="s">
        <v>21</v>
      </c>
      <c r="L266" s="1" t="s">
        <v>106</v>
      </c>
    </row>
    <row r="267" spans="1:12" s="1" customFormat="1" ht="26.45" customHeight="1" x14ac:dyDescent="0.2">
      <c r="C267" s="1" t="s">
        <v>1545</v>
      </c>
      <c r="D267" s="1" t="s">
        <v>1546</v>
      </c>
      <c r="E267" s="1" t="s">
        <v>1547</v>
      </c>
      <c r="F267" s="1" t="s">
        <v>16</v>
      </c>
      <c r="G267" s="1" t="s">
        <v>17</v>
      </c>
      <c r="H267" s="1">
        <v>94103</v>
      </c>
      <c r="I267" s="1" t="s">
        <v>1548</v>
      </c>
      <c r="J267" s="15" t="s">
        <v>1549</v>
      </c>
      <c r="K267" s="15" t="s">
        <v>218</v>
      </c>
      <c r="L267" s="1" t="s">
        <v>106</v>
      </c>
    </row>
    <row r="268" spans="1:12" s="1" customFormat="1" ht="26.45" customHeight="1" x14ac:dyDescent="0.2">
      <c r="A268" s="1" t="s">
        <v>1550</v>
      </c>
      <c r="B268" s="1" t="s">
        <v>188</v>
      </c>
      <c r="C268" s="1" t="str">
        <f>A268&amp;" "&amp;B268</f>
        <v>Eric Lopez</v>
      </c>
      <c r="D268" s="1" t="s">
        <v>1551</v>
      </c>
      <c r="E268" s="1" t="s">
        <v>1552</v>
      </c>
      <c r="F268" s="1" t="s">
        <v>16</v>
      </c>
      <c r="G268" s="1" t="s">
        <v>17</v>
      </c>
      <c r="H268" s="1">
        <v>94141</v>
      </c>
      <c r="I268" s="1" t="s">
        <v>1553</v>
      </c>
      <c r="J268" s="15" t="s">
        <v>1554</v>
      </c>
      <c r="K268" s="9" t="s">
        <v>21</v>
      </c>
      <c r="L268" s="1" t="s">
        <v>1555</v>
      </c>
    </row>
    <row r="269" spans="1:12" s="1" customFormat="1" x14ac:dyDescent="0.25">
      <c r="A269" s="1" t="s">
        <v>1556</v>
      </c>
      <c r="B269" s="1" t="s">
        <v>1557</v>
      </c>
      <c r="C269" s="1" t="str">
        <f>A269&amp;" "&amp;B269</f>
        <v>Stephanie Greenburg</v>
      </c>
      <c r="D269" s="1" t="s">
        <v>1558</v>
      </c>
      <c r="E269" s="1" t="s">
        <v>1559</v>
      </c>
      <c r="F269" s="1" t="s">
        <v>16</v>
      </c>
      <c r="G269" s="1" t="s">
        <v>17</v>
      </c>
      <c r="H269" s="1" t="s">
        <v>18</v>
      </c>
      <c r="I269" s="1" t="s">
        <v>1560</v>
      </c>
      <c r="J269" s="1" t="s">
        <v>1561</v>
      </c>
      <c r="K269" s="9" t="s">
        <v>21</v>
      </c>
      <c r="L269" s="1" t="s">
        <v>1186</v>
      </c>
    </row>
    <row r="270" spans="1:12" s="1" customFormat="1" ht="26.45" customHeight="1" x14ac:dyDescent="0.2">
      <c r="A270" s="1" t="s">
        <v>539</v>
      </c>
      <c r="B270" s="1" t="s">
        <v>1562</v>
      </c>
      <c r="C270" s="1" t="str">
        <f>A270&amp;" "&amp;B270</f>
        <v>Alice Rogers</v>
      </c>
      <c r="D270" s="1" t="s">
        <v>1563</v>
      </c>
      <c r="E270" s="1" t="s">
        <v>1564</v>
      </c>
      <c r="F270" s="1" t="s">
        <v>16</v>
      </c>
      <c r="G270" s="1" t="s">
        <v>17</v>
      </c>
      <c r="H270" s="1">
        <v>94017</v>
      </c>
      <c r="J270" s="15" t="s">
        <v>1565</v>
      </c>
      <c r="K270" s="16" t="s">
        <v>63</v>
      </c>
      <c r="L270" s="1" t="s">
        <v>106</v>
      </c>
    </row>
    <row r="271" spans="1:12" s="1" customFormat="1" ht="26.45" customHeight="1" x14ac:dyDescent="0.2">
      <c r="A271" s="1" t="s">
        <v>1566</v>
      </c>
      <c r="B271" s="1" t="s">
        <v>1567</v>
      </c>
      <c r="C271" s="1" t="str">
        <f>A271&amp;" "&amp;B271</f>
        <v>Angelica Cabande</v>
      </c>
      <c r="D271" s="1" t="s">
        <v>1568</v>
      </c>
      <c r="E271" s="1" t="s">
        <v>1569</v>
      </c>
      <c r="F271" s="1" t="s">
        <v>16</v>
      </c>
      <c r="G271" s="1" t="s">
        <v>17</v>
      </c>
      <c r="H271" s="1" t="s">
        <v>103</v>
      </c>
      <c r="J271" s="17" t="s">
        <v>1570</v>
      </c>
      <c r="K271" s="9" t="s">
        <v>21</v>
      </c>
      <c r="L271" s="1" t="s">
        <v>106</v>
      </c>
    </row>
    <row r="272" spans="1:12" s="1" customFormat="1" x14ac:dyDescent="0.25">
      <c r="A272" s="1" t="s">
        <v>326</v>
      </c>
      <c r="B272" s="1" t="s">
        <v>1571</v>
      </c>
      <c r="C272" s="1" t="s">
        <v>1572</v>
      </c>
      <c r="D272" s="1" t="s">
        <v>1573</v>
      </c>
      <c r="E272" s="1" t="s">
        <v>1574</v>
      </c>
      <c r="F272" s="1" t="s">
        <v>16</v>
      </c>
      <c r="G272" s="1" t="s">
        <v>17</v>
      </c>
      <c r="H272" s="1" t="s">
        <v>111</v>
      </c>
      <c r="I272" s="1" t="s">
        <v>1575</v>
      </c>
      <c r="K272" s="9" t="s">
        <v>21</v>
      </c>
      <c r="L272" s="1" t="s">
        <v>56</v>
      </c>
    </row>
    <row r="273" spans="1:12" s="1" customFormat="1" ht="26.45" customHeight="1" x14ac:dyDescent="0.2">
      <c r="A273" s="1" t="s">
        <v>1576</v>
      </c>
      <c r="B273" s="1" t="s">
        <v>1577</v>
      </c>
      <c r="C273" s="1" t="str">
        <f>A273&amp;" "&amp;B273</f>
        <v>Eileen Boken</v>
      </c>
      <c r="D273" s="1" t="s">
        <v>1578</v>
      </c>
      <c r="E273" s="1" t="s">
        <v>1579</v>
      </c>
      <c r="F273" s="1" t="s">
        <v>16</v>
      </c>
      <c r="G273" s="1" t="s">
        <v>17</v>
      </c>
      <c r="H273" s="1" t="s">
        <v>810</v>
      </c>
      <c r="J273" s="17" t="s">
        <v>1580</v>
      </c>
      <c r="K273" s="17" t="s">
        <v>21</v>
      </c>
      <c r="L273" s="1" t="s">
        <v>1581</v>
      </c>
    </row>
    <row r="274" spans="1:12" s="1" customFormat="1" x14ac:dyDescent="0.2">
      <c r="A274" s="1" t="s">
        <v>1582</v>
      </c>
      <c r="B274" s="1" t="s">
        <v>1583</v>
      </c>
      <c r="C274" s="1" t="str">
        <f>A274&amp;" "&amp;B274</f>
        <v>Tract Office Manager</v>
      </c>
      <c r="D274" s="1" t="s">
        <v>1584</v>
      </c>
      <c r="E274" s="1" t="s">
        <v>1585</v>
      </c>
      <c r="F274" s="1" t="s">
        <v>16</v>
      </c>
      <c r="G274" s="1" t="s">
        <v>17</v>
      </c>
      <c r="H274" s="1" t="s">
        <v>138</v>
      </c>
      <c r="J274" s="17" t="s">
        <v>1586</v>
      </c>
      <c r="K274" s="17" t="s">
        <v>63</v>
      </c>
      <c r="L274" s="1" t="s">
        <v>141</v>
      </c>
    </row>
    <row r="275" spans="1:12" s="1" customFormat="1" ht="25.5" x14ac:dyDescent="0.2">
      <c r="A275" s="1" t="s">
        <v>1587</v>
      </c>
      <c r="B275" s="1" t="s">
        <v>1588</v>
      </c>
      <c r="C275" s="1" t="str">
        <f>A275&amp;" "&amp;B275</f>
        <v>Deborah Fischer-Brown</v>
      </c>
      <c r="D275" s="1" t="s">
        <v>1589</v>
      </c>
      <c r="E275" s="1" t="s">
        <v>1590</v>
      </c>
      <c r="F275" s="1" t="s">
        <v>16</v>
      </c>
      <c r="G275" s="1" t="s">
        <v>17</v>
      </c>
      <c r="H275" s="1">
        <v>94116</v>
      </c>
      <c r="I275" s="1" t="s">
        <v>1591</v>
      </c>
      <c r="J275" s="15" t="s">
        <v>1592</v>
      </c>
      <c r="K275" s="15" t="s">
        <v>63</v>
      </c>
      <c r="L275" s="1" t="s">
        <v>668</v>
      </c>
    </row>
    <row r="276" spans="1:12" s="1" customFormat="1" x14ac:dyDescent="0.2">
      <c r="A276" s="1" t="s">
        <v>903</v>
      </c>
      <c r="B276" s="1" t="s">
        <v>1593</v>
      </c>
      <c r="C276" s="1" t="str">
        <f>A276&amp;" "&amp;B276</f>
        <v>Paul Gawlowski</v>
      </c>
      <c r="D276" s="1" t="s">
        <v>1594</v>
      </c>
      <c r="E276" s="1" t="s">
        <v>1595</v>
      </c>
      <c r="F276" s="1" t="s">
        <v>16</v>
      </c>
      <c r="G276" s="1" t="s">
        <v>17</v>
      </c>
      <c r="H276" s="1" t="s">
        <v>111</v>
      </c>
      <c r="I276" s="1" t="s">
        <v>1596</v>
      </c>
      <c r="J276" s="17" t="s">
        <v>1597</v>
      </c>
      <c r="K276" s="9" t="s">
        <v>21</v>
      </c>
      <c r="L276" s="1" t="s">
        <v>56</v>
      </c>
    </row>
    <row r="277" spans="1:12" s="1" customFormat="1" ht="26.45" customHeight="1" x14ac:dyDescent="0.2">
      <c r="C277" s="1" t="s">
        <v>1598</v>
      </c>
      <c r="D277" s="1" t="s">
        <v>1599</v>
      </c>
      <c r="E277" s="1" t="s">
        <v>1600</v>
      </c>
      <c r="F277" s="1" t="s">
        <v>16</v>
      </c>
      <c r="G277" s="1" t="s">
        <v>17</v>
      </c>
      <c r="H277" s="37">
        <v>94134</v>
      </c>
      <c r="I277" s="1" t="s">
        <v>1601</v>
      </c>
      <c r="J277" s="15" t="s">
        <v>1602</v>
      </c>
      <c r="K277" s="9" t="s">
        <v>63</v>
      </c>
      <c r="L277" s="1" t="s">
        <v>219</v>
      </c>
    </row>
    <row r="278" spans="1:12" s="1" customFormat="1" x14ac:dyDescent="0.2">
      <c r="A278" s="1" t="s">
        <v>1603</v>
      </c>
      <c r="B278" s="1" t="s">
        <v>1604</v>
      </c>
      <c r="C278" s="1" t="str">
        <f>A278&amp;" "&amp;B278</f>
        <v>Harold Miller</v>
      </c>
      <c r="D278" s="1" t="s">
        <v>1605</v>
      </c>
      <c r="E278" s="1" t="s">
        <v>1606</v>
      </c>
      <c r="F278" s="1" t="s">
        <v>16</v>
      </c>
      <c r="G278" s="1" t="s">
        <v>17</v>
      </c>
      <c r="H278" s="34" t="s">
        <v>1607</v>
      </c>
      <c r="I278" s="1" t="s">
        <v>1608</v>
      </c>
      <c r="J278" s="1" t="s">
        <v>1609</v>
      </c>
      <c r="K278" s="9" t="s">
        <v>21</v>
      </c>
      <c r="L278" s="1" t="s">
        <v>123</v>
      </c>
    </row>
    <row r="279" spans="1:12" s="1" customFormat="1" x14ac:dyDescent="0.25">
      <c r="A279" s="1" t="s">
        <v>873</v>
      </c>
      <c r="B279" s="1" t="s">
        <v>1610</v>
      </c>
      <c r="C279" s="1" t="str">
        <f>A279&amp;" "&amp;B279</f>
        <v>Brian Smith</v>
      </c>
      <c r="D279" s="1" t="s">
        <v>1611</v>
      </c>
      <c r="E279" s="1" t="s">
        <v>1612</v>
      </c>
      <c r="F279" s="1" t="s">
        <v>16</v>
      </c>
      <c r="G279" s="1" t="s">
        <v>17</v>
      </c>
      <c r="H279" s="1">
        <v>94127</v>
      </c>
      <c r="I279" s="1" t="s">
        <v>1613</v>
      </c>
      <c r="J279" s="9" t="s">
        <v>1614</v>
      </c>
      <c r="K279" s="9" t="s">
        <v>63</v>
      </c>
      <c r="L279" s="1" t="s">
        <v>1615</v>
      </c>
    </row>
    <row r="280" spans="1:12" s="1" customFormat="1" x14ac:dyDescent="0.25">
      <c r="C280" s="1" t="s">
        <v>1616</v>
      </c>
      <c r="D280" s="1" t="s">
        <v>1617</v>
      </c>
      <c r="E280" s="1" t="s">
        <v>1618</v>
      </c>
      <c r="F280" s="1" t="s">
        <v>16</v>
      </c>
      <c r="G280" s="1" t="s">
        <v>17</v>
      </c>
      <c r="H280" s="1">
        <v>94134</v>
      </c>
      <c r="I280" s="1" t="s">
        <v>1619</v>
      </c>
      <c r="J280" s="9" t="s">
        <v>1620</v>
      </c>
      <c r="K280" s="9" t="s">
        <v>63</v>
      </c>
      <c r="L280" s="1" t="s">
        <v>441</v>
      </c>
    </row>
    <row r="281" spans="1:12" s="1" customFormat="1" ht="26.45" customHeight="1" x14ac:dyDescent="0.2">
      <c r="A281" s="1" t="s">
        <v>1621</v>
      </c>
      <c r="B281" s="1" t="s">
        <v>1622</v>
      </c>
      <c r="C281" s="1" t="str">
        <f>A281&amp;" "&amp;B281</f>
        <v>Dennis Minnick</v>
      </c>
      <c r="D281" s="1" t="s">
        <v>1623</v>
      </c>
      <c r="E281" s="1" t="s">
        <v>1624</v>
      </c>
      <c r="F281" s="1" t="s">
        <v>16</v>
      </c>
      <c r="G281" s="1" t="s">
        <v>17</v>
      </c>
      <c r="H281" s="1">
        <v>94122</v>
      </c>
      <c r="I281" s="1" t="s">
        <v>1625</v>
      </c>
      <c r="J281" s="15" t="s">
        <v>1626</v>
      </c>
      <c r="K281" s="17" t="s">
        <v>63</v>
      </c>
      <c r="L281" s="1" t="s">
        <v>552</v>
      </c>
    </row>
    <row r="282" spans="1:12" s="1" customFormat="1" ht="26.45" customHeight="1" x14ac:dyDescent="0.2">
      <c r="C282" s="1" t="s">
        <v>1627</v>
      </c>
      <c r="D282" s="1" t="s">
        <v>1628</v>
      </c>
      <c r="E282" s="1" t="s">
        <v>1629</v>
      </c>
      <c r="F282" s="1" t="s">
        <v>16</v>
      </c>
      <c r="G282" s="1" t="s">
        <v>17</v>
      </c>
      <c r="H282" s="1">
        <v>94122</v>
      </c>
      <c r="I282" s="1" t="s">
        <v>1630</v>
      </c>
      <c r="J282" s="15" t="s">
        <v>1631</v>
      </c>
      <c r="K282" s="17" t="s">
        <v>63</v>
      </c>
      <c r="L282" s="1" t="s">
        <v>1581</v>
      </c>
    </row>
    <row r="283" spans="1:12" s="1" customFormat="1" ht="26.45" customHeight="1" x14ac:dyDescent="0.2">
      <c r="A283" s="1" t="s">
        <v>1023</v>
      </c>
      <c r="B283" s="1" t="s">
        <v>1632</v>
      </c>
      <c r="C283" s="1" t="str">
        <f>A283&amp;" "&amp;B283</f>
        <v>Marc Bruno</v>
      </c>
      <c r="D283" s="1" t="s">
        <v>1633</v>
      </c>
      <c r="E283" s="1" t="s">
        <v>1634</v>
      </c>
      <c r="F283" s="1" t="s">
        <v>16</v>
      </c>
      <c r="G283" s="1" t="s">
        <v>17</v>
      </c>
      <c r="H283" s="1">
        <v>94133</v>
      </c>
      <c r="I283" s="1" t="s">
        <v>1635</v>
      </c>
      <c r="J283" s="15" t="s">
        <v>1636</v>
      </c>
      <c r="K283" s="9" t="s">
        <v>21</v>
      </c>
      <c r="L283" s="1" t="s">
        <v>227</v>
      </c>
    </row>
    <row r="284" spans="1:12" s="1" customFormat="1" x14ac:dyDescent="0.25">
      <c r="A284" s="1" t="s">
        <v>1637</v>
      </c>
      <c r="B284" s="1" t="s">
        <v>1638</v>
      </c>
      <c r="C284" s="1" t="s">
        <v>1639</v>
      </c>
      <c r="D284" s="1" t="s">
        <v>1640</v>
      </c>
      <c r="E284" s="1" t="s">
        <v>1641</v>
      </c>
      <c r="F284" s="1" t="s">
        <v>16</v>
      </c>
      <c r="G284" s="1" t="s">
        <v>17</v>
      </c>
      <c r="H284" s="1" t="s">
        <v>18</v>
      </c>
      <c r="J284" s="9" t="s">
        <v>1642</v>
      </c>
      <c r="K284" s="9" t="s">
        <v>63</v>
      </c>
      <c r="L284" s="1" t="s">
        <v>1643</v>
      </c>
    </row>
    <row r="285" spans="1:12" s="1" customFormat="1" ht="26.45" customHeight="1" x14ac:dyDescent="0.2">
      <c r="A285" s="1" t="s">
        <v>1644</v>
      </c>
      <c r="B285" s="1" t="s">
        <v>1645</v>
      </c>
      <c r="C285" s="1" t="str">
        <f>A285&amp;" "&amp;B285</f>
        <v>Nancy Shanahan</v>
      </c>
      <c r="D285" s="1" t="s">
        <v>1646</v>
      </c>
      <c r="E285" s="1" t="s">
        <v>1647</v>
      </c>
      <c r="F285" s="1" t="s">
        <v>16</v>
      </c>
      <c r="G285" s="1" t="s">
        <v>17</v>
      </c>
      <c r="H285" s="1">
        <v>94133</v>
      </c>
      <c r="J285" s="35" t="s">
        <v>1648</v>
      </c>
      <c r="K285" s="17" t="s">
        <v>63</v>
      </c>
      <c r="L285" s="1" t="s">
        <v>1643</v>
      </c>
    </row>
    <row r="286" spans="1:12" s="1" customFormat="1" ht="26.45" customHeight="1" x14ac:dyDescent="0.2">
      <c r="A286" s="1" t="s">
        <v>1649</v>
      </c>
      <c r="B286" s="1" t="s">
        <v>1650</v>
      </c>
      <c r="C286" s="1" t="str">
        <f>A286&amp;" "&amp;B286</f>
        <v>Nestor Fernandez</v>
      </c>
      <c r="D286" s="1" t="s">
        <v>1651</v>
      </c>
      <c r="E286" s="1" t="s">
        <v>1652</v>
      </c>
      <c r="F286" s="1" t="s">
        <v>16</v>
      </c>
      <c r="G286" s="1" t="s">
        <v>17</v>
      </c>
      <c r="H286" s="1" t="s">
        <v>18</v>
      </c>
      <c r="I286" s="1" t="s">
        <v>1653</v>
      </c>
      <c r="J286" s="17" t="s">
        <v>1654</v>
      </c>
      <c r="K286" s="17" t="s">
        <v>21</v>
      </c>
      <c r="L286" s="1" t="s">
        <v>1186</v>
      </c>
    </row>
    <row r="287" spans="1:12" s="1" customFormat="1" x14ac:dyDescent="0.2">
      <c r="A287" s="1" t="s">
        <v>1655</v>
      </c>
      <c r="B287" s="1" t="s">
        <v>1656</v>
      </c>
      <c r="C287" s="1" t="str">
        <f>A287&amp;" "&amp;B287</f>
        <v>Gene Morzenti</v>
      </c>
      <c r="D287" s="1" t="s">
        <v>1657</v>
      </c>
      <c r="E287" s="1" t="s">
        <v>1658</v>
      </c>
      <c r="F287" s="1" t="s">
        <v>16</v>
      </c>
      <c r="G287" s="1" t="s">
        <v>17</v>
      </c>
      <c r="H287" s="1" t="s">
        <v>18</v>
      </c>
      <c r="I287" s="1" t="s">
        <v>1659</v>
      </c>
      <c r="J287" s="17" t="s">
        <v>1660</v>
      </c>
      <c r="K287" s="17" t="s">
        <v>21</v>
      </c>
      <c r="L287" s="1" t="s">
        <v>1186</v>
      </c>
    </row>
    <row r="288" spans="1:12" s="1" customFormat="1" ht="13.9" customHeight="1" x14ac:dyDescent="0.2">
      <c r="C288" s="1" t="s">
        <v>1661</v>
      </c>
      <c r="D288" s="1" t="s">
        <v>1662</v>
      </c>
      <c r="E288" s="1" t="s">
        <v>1663</v>
      </c>
      <c r="F288" s="1" t="s">
        <v>16</v>
      </c>
      <c r="G288" s="1" t="s">
        <v>17</v>
      </c>
      <c r="H288" s="1">
        <v>94102</v>
      </c>
      <c r="I288" s="1" t="s">
        <v>1664</v>
      </c>
      <c r="J288" s="51" t="s">
        <v>1665</v>
      </c>
      <c r="K288" s="17" t="s">
        <v>63</v>
      </c>
      <c r="L288" s="1" t="s">
        <v>435</v>
      </c>
    </row>
    <row r="289" spans="1:12" s="1" customFormat="1" ht="39.6" customHeight="1" x14ac:dyDescent="0.25">
      <c r="A289" s="1" t="s">
        <v>765</v>
      </c>
      <c r="B289" s="1" t="s">
        <v>1666</v>
      </c>
      <c r="C289" s="1" t="str">
        <f>A289&amp;" "&amp;B289</f>
        <v>Richard Rabbitt</v>
      </c>
      <c r="D289" s="1" t="s">
        <v>1667</v>
      </c>
      <c r="E289" s="1" t="s">
        <v>1668</v>
      </c>
      <c r="F289" s="1" t="s">
        <v>16</v>
      </c>
      <c r="G289" s="1" t="s">
        <v>17</v>
      </c>
      <c r="H289" s="1" t="s">
        <v>388</v>
      </c>
      <c r="I289" s="1" t="s">
        <v>1669</v>
      </c>
      <c r="J289" s="1" t="s">
        <v>1670</v>
      </c>
      <c r="K289" s="1" t="s">
        <v>21</v>
      </c>
      <c r="L289" s="1" t="s">
        <v>1671</v>
      </c>
    </row>
    <row r="290" spans="1:12" s="1" customFormat="1" ht="39.6" customHeight="1" x14ac:dyDescent="0.2">
      <c r="C290" s="1" t="s">
        <v>1672</v>
      </c>
      <c r="D290" s="1" t="s">
        <v>1673</v>
      </c>
      <c r="E290" s="1" t="s">
        <v>1674</v>
      </c>
      <c r="F290" s="1" t="s">
        <v>16</v>
      </c>
      <c r="G290" s="1" t="s">
        <v>17</v>
      </c>
      <c r="H290" s="1" t="s">
        <v>1675</v>
      </c>
      <c r="I290" s="1" t="s">
        <v>1676</v>
      </c>
      <c r="J290" s="17" t="s">
        <v>1677</v>
      </c>
      <c r="K290" s="17" t="s">
        <v>21</v>
      </c>
      <c r="L290" s="1" t="s">
        <v>1678</v>
      </c>
    </row>
    <row r="291" spans="1:12" s="1" customFormat="1" x14ac:dyDescent="0.25">
      <c r="A291" s="1" t="s">
        <v>1679</v>
      </c>
      <c r="B291" s="1" t="s">
        <v>1680</v>
      </c>
      <c r="C291" s="1" t="str">
        <f>A291&amp;" "&amp;B291</f>
        <v>Randy Shaw</v>
      </c>
      <c r="D291" s="1" t="s">
        <v>1681</v>
      </c>
      <c r="E291" s="1" t="s">
        <v>1682</v>
      </c>
      <c r="F291" s="1" t="s">
        <v>16</v>
      </c>
      <c r="G291" s="1" t="s">
        <v>17</v>
      </c>
      <c r="H291" s="1" t="s">
        <v>37</v>
      </c>
      <c r="I291" s="1" t="s">
        <v>1683</v>
      </c>
      <c r="J291" s="1" t="s">
        <v>1684</v>
      </c>
      <c r="K291" s="9" t="s">
        <v>21</v>
      </c>
      <c r="L291" s="1" t="s">
        <v>378</v>
      </c>
    </row>
    <row r="292" spans="1:12" s="1" customFormat="1" ht="26.45" customHeight="1" x14ac:dyDescent="0.2">
      <c r="A292" s="1" t="s">
        <v>1685</v>
      </c>
      <c r="B292" s="1" t="s">
        <v>1686</v>
      </c>
      <c r="C292" s="1" t="str">
        <f>A292&amp;" "&amp;B292</f>
        <v>Curtis Bradford</v>
      </c>
      <c r="D292" s="1" t="s">
        <v>1687</v>
      </c>
      <c r="E292" s="1" t="s">
        <v>1688</v>
      </c>
      <c r="F292" s="1" t="s">
        <v>16</v>
      </c>
      <c r="G292" s="1" t="s">
        <v>17</v>
      </c>
      <c r="H292" s="1">
        <v>94102</v>
      </c>
      <c r="I292" s="1" t="s">
        <v>1689</v>
      </c>
      <c r="J292" s="17" t="s">
        <v>1690</v>
      </c>
      <c r="K292" s="15" t="s">
        <v>21</v>
      </c>
      <c r="L292" s="1" t="s">
        <v>1691</v>
      </c>
    </row>
    <row r="293" spans="1:12" s="1" customFormat="1" ht="26.45" customHeight="1" x14ac:dyDescent="0.2">
      <c r="A293" s="1" t="s">
        <v>725</v>
      </c>
      <c r="B293" s="1" t="s">
        <v>1004</v>
      </c>
      <c r="C293" s="1" t="s">
        <v>1692</v>
      </c>
      <c r="D293" s="1" t="s">
        <v>1693</v>
      </c>
      <c r="E293" s="1" t="s">
        <v>1694</v>
      </c>
      <c r="F293" s="1" t="s">
        <v>16</v>
      </c>
      <c r="G293" s="1" t="s">
        <v>17</v>
      </c>
      <c r="H293" s="1">
        <v>94105</v>
      </c>
      <c r="J293" s="35" t="s">
        <v>1695</v>
      </c>
      <c r="K293" s="9" t="s">
        <v>63</v>
      </c>
      <c r="L293" s="1" t="s">
        <v>1270</v>
      </c>
    </row>
    <row r="294" spans="1:12" s="1" customFormat="1" x14ac:dyDescent="0.2">
      <c r="A294" s="1" t="s">
        <v>1696</v>
      </c>
      <c r="B294" s="1" t="s">
        <v>1697</v>
      </c>
      <c r="C294" s="1" t="str">
        <f>A294&amp;" "&amp;B294</f>
        <v>Sonja Kos</v>
      </c>
      <c r="D294" s="1" t="s">
        <v>1698</v>
      </c>
      <c r="E294" s="1" t="s">
        <v>1699</v>
      </c>
      <c r="F294" s="1" t="s">
        <v>16</v>
      </c>
      <c r="G294" s="1" t="s">
        <v>17</v>
      </c>
      <c r="H294" s="1">
        <v>94103</v>
      </c>
      <c r="I294" s="1" t="s">
        <v>1700</v>
      </c>
      <c r="J294" s="17" t="s">
        <v>1701</v>
      </c>
      <c r="K294" s="9" t="s">
        <v>21</v>
      </c>
      <c r="L294" s="1" t="s">
        <v>106</v>
      </c>
    </row>
    <row r="295" spans="1:12" s="1" customFormat="1" x14ac:dyDescent="0.2">
      <c r="C295" s="1" t="s">
        <v>1702</v>
      </c>
      <c r="D295" s="1" t="s">
        <v>1703</v>
      </c>
      <c r="E295" s="1" t="s">
        <v>1704</v>
      </c>
      <c r="F295" s="1" t="s">
        <v>16</v>
      </c>
      <c r="G295" s="1" t="s">
        <v>17</v>
      </c>
      <c r="H295" s="1">
        <v>94134</v>
      </c>
      <c r="I295" s="1" t="s">
        <v>1705</v>
      </c>
      <c r="J295" s="15" t="s">
        <v>1706</v>
      </c>
      <c r="K295" s="9" t="s">
        <v>63</v>
      </c>
      <c r="L295" s="1" t="s">
        <v>123</v>
      </c>
    </row>
    <row r="296" spans="1:12" s="1" customFormat="1" ht="26.45" customHeight="1" x14ac:dyDescent="0.2">
      <c r="A296" s="1" t="s">
        <v>1644</v>
      </c>
      <c r="B296" s="1" t="s">
        <v>1707</v>
      </c>
      <c r="C296" s="1" t="str">
        <f t="shared" ref="C296:C301" si="15">A296&amp;" "&amp;B296</f>
        <v>Nancy O'Brien</v>
      </c>
      <c r="D296" s="1" t="s">
        <v>1708</v>
      </c>
      <c r="E296" s="1" t="s">
        <v>1709</v>
      </c>
      <c r="F296" s="1" t="s">
        <v>16</v>
      </c>
      <c r="G296" s="1" t="s">
        <v>17</v>
      </c>
      <c r="H296" s="1">
        <v>94131</v>
      </c>
      <c r="I296" s="1" t="s">
        <v>1710</v>
      </c>
      <c r="J296" s="15" t="s">
        <v>1711</v>
      </c>
      <c r="K296" s="15" t="s">
        <v>63</v>
      </c>
      <c r="L296" s="1" t="s">
        <v>1712</v>
      </c>
    </row>
    <row r="297" spans="1:12" s="1" customFormat="1" x14ac:dyDescent="0.25">
      <c r="A297" s="1" t="s">
        <v>1713</v>
      </c>
      <c r="B297" s="1" t="s">
        <v>1714</v>
      </c>
      <c r="C297" s="1" t="str">
        <f t="shared" si="15"/>
        <v>Doris Linnenbach</v>
      </c>
      <c r="D297" s="1" t="s">
        <v>1715</v>
      </c>
      <c r="E297" s="1" t="s">
        <v>1716</v>
      </c>
      <c r="F297" s="1" t="s">
        <v>16</v>
      </c>
      <c r="G297" s="1" t="s">
        <v>17</v>
      </c>
      <c r="H297" s="1" t="s">
        <v>312</v>
      </c>
      <c r="I297" s="1" t="s">
        <v>1717</v>
      </c>
      <c r="K297" s="1" t="s">
        <v>21</v>
      </c>
      <c r="L297" s="1" t="s">
        <v>1066</v>
      </c>
    </row>
    <row r="298" spans="1:12" s="1" customFormat="1" x14ac:dyDescent="0.25">
      <c r="A298" s="1" t="s">
        <v>1718</v>
      </c>
      <c r="B298" s="1" t="s">
        <v>1719</v>
      </c>
      <c r="C298" s="1" t="str">
        <f t="shared" si="15"/>
        <v>Lesley Leonhardt</v>
      </c>
      <c r="D298" s="1" t="s">
        <v>1720</v>
      </c>
      <c r="E298" s="1" t="s">
        <v>1721</v>
      </c>
      <c r="F298" s="1" t="s">
        <v>16</v>
      </c>
      <c r="G298" s="1" t="s">
        <v>17</v>
      </c>
      <c r="H298" s="1">
        <v>94147</v>
      </c>
      <c r="I298" s="1" t="s">
        <v>1722</v>
      </c>
      <c r="J298" s="1" t="s">
        <v>1723</v>
      </c>
      <c r="K298" s="1" t="s">
        <v>63</v>
      </c>
      <c r="L298" s="1" t="s">
        <v>454</v>
      </c>
    </row>
    <row r="299" spans="1:12" s="1" customFormat="1" ht="26.45" customHeight="1" x14ac:dyDescent="0.25">
      <c r="A299" s="1" t="s">
        <v>1724</v>
      </c>
      <c r="B299" s="1" t="s">
        <v>1725</v>
      </c>
      <c r="C299" s="1" t="str">
        <f t="shared" si="15"/>
        <v>Lisa Frisch</v>
      </c>
      <c r="D299" s="1" t="s">
        <v>1726</v>
      </c>
      <c r="E299" s="1" t="s">
        <v>1727</v>
      </c>
      <c r="F299" s="1" t="s">
        <v>16</v>
      </c>
      <c r="G299" s="1" t="s">
        <v>17</v>
      </c>
      <c r="H299" s="1">
        <v>94102</v>
      </c>
      <c r="I299" s="1" t="s">
        <v>1728</v>
      </c>
      <c r="J299" s="9" t="s">
        <v>1729</v>
      </c>
      <c r="K299" s="9" t="s">
        <v>63</v>
      </c>
      <c r="L299" s="1" t="s">
        <v>378</v>
      </c>
    </row>
    <row r="300" spans="1:12" s="1" customFormat="1" x14ac:dyDescent="0.2">
      <c r="A300" s="1" t="s">
        <v>1730</v>
      </c>
      <c r="B300" s="1" t="s">
        <v>1731</v>
      </c>
      <c r="C300" s="1" t="str">
        <f t="shared" si="15"/>
        <v>Larisa Pedroncelli</v>
      </c>
      <c r="D300" s="1" t="s">
        <v>1732</v>
      </c>
      <c r="E300" s="1" t="s">
        <v>1733</v>
      </c>
      <c r="F300" s="1" t="s">
        <v>16</v>
      </c>
      <c r="G300" s="1" t="s">
        <v>17</v>
      </c>
      <c r="H300" s="1">
        <v>94103</v>
      </c>
      <c r="J300" s="17" t="s">
        <v>1734</v>
      </c>
      <c r="K300" s="9" t="s">
        <v>63</v>
      </c>
      <c r="L300" s="1" t="s">
        <v>64</v>
      </c>
    </row>
    <row r="301" spans="1:12" s="1" customFormat="1" ht="26.45" customHeight="1" x14ac:dyDescent="0.2">
      <c r="A301" s="1" t="s">
        <v>1735</v>
      </c>
      <c r="B301" s="1" t="s">
        <v>1736</v>
      </c>
      <c r="C301" s="1" t="str">
        <f t="shared" si="15"/>
        <v>Niall Vignoles</v>
      </c>
      <c r="D301" s="1" t="s">
        <v>1737</v>
      </c>
      <c r="E301" s="1" t="s">
        <v>1738</v>
      </c>
      <c r="F301" s="1" t="s">
        <v>16</v>
      </c>
      <c r="G301" s="1" t="s">
        <v>17</v>
      </c>
      <c r="H301" s="1">
        <v>94118</v>
      </c>
      <c r="J301" s="17" t="s">
        <v>1739</v>
      </c>
      <c r="K301" s="17" t="s">
        <v>63</v>
      </c>
      <c r="L301" s="1" t="s">
        <v>1740</v>
      </c>
    </row>
    <row r="302" spans="1:12" s="1" customFormat="1" ht="26.45" customHeight="1" x14ac:dyDescent="0.2">
      <c r="C302" s="1" t="s">
        <v>1741</v>
      </c>
      <c r="D302" s="1" t="s">
        <v>1742</v>
      </c>
      <c r="E302" s="1" t="s">
        <v>1743</v>
      </c>
      <c r="F302" s="1" t="s">
        <v>16</v>
      </c>
      <c r="G302" s="1" t="s">
        <v>17</v>
      </c>
      <c r="H302" s="1">
        <v>94133</v>
      </c>
      <c r="I302" s="1" t="s">
        <v>1744</v>
      </c>
      <c r="J302" s="35" t="s">
        <v>1745</v>
      </c>
      <c r="K302" s="17" t="s">
        <v>63</v>
      </c>
      <c r="L302" s="1" t="s">
        <v>1746</v>
      </c>
    </row>
    <row r="303" spans="1:12" s="1" customFormat="1" x14ac:dyDescent="0.2">
      <c r="A303" s="1" t="s">
        <v>1747</v>
      </c>
      <c r="B303" s="1" t="s">
        <v>1748</v>
      </c>
      <c r="C303" s="1" t="str">
        <f t="shared" ref="C303:C311" si="16">A303&amp;" "&amp;B303</f>
        <v>Andy Levine</v>
      </c>
      <c r="D303" s="1" t="s">
        <v>1749</v>
      </c>
      <c r="E303" s="1" t="s">
        <v>1750</v>
      </c>
      <c r="F303" s="1" t="s">
        <v>16</v>
      </c>
      <c r="G303" s="1" t="s">
        <v>17</v>
      </c>
      <c r="H303" s="1">
        <v>94131</v>
      </c>
      <c r="I303" s="1" t="s">
        <v>1751</v>
      </c>
      <c r="J303" s="15" t="s">
        <v>1752</v>
      </c>
      <c r="K303" s="15" t="s">
        <v>63</v>
      </c>
      <c r="L303" s="1" t="s">
        <v>49</v>
      </c>
    </row>
    <row r="304" spans="1:12" s="1" customFormat="1" ht="26.45" customHeight="1" x14ac:dyDescent="0.2">
      <c r="A304" s="1" t="s">
        <v>1753</v>
      </c>
      <c r="B304" s="1" t="s">
        <v>1754</v>
      </c>
      <c r="C304" s="1" t="str">
        <f t="shared" si="16"/>
        <v>Sean  Quigley</v>
      </c>
      <c r="D304" s="1" t="s">
        <v>1755</v>
      </c>
      <c r="E304" s="1" t="s">
        <v>1756</v>
      </c>
      <c r="F304" s="1" t="s">
        <v>16</v>
      </c>
      <c r="G304" s="1" t="s">
        <v>17</v>
      </c>
      <c r="H304" s="1">
        <v>94110</v>
      </c>
      <c r="J304" s="17" t="s">
        <v>1757</v>
      </c>
      <c r="K304" s="9" t="s">
        <v>21</v>
      </c>
      <c r="L304" s="1" t="s">
        <v>1758</v>
      </c>
    </row>
    <row r="305" spans="1:12" s="1" customFormat="1" ht="26.45" customHeight="1" x14ac:dyDescent="0.2">
      <c r="A305" s="1" t="s">
        <v>1759</v>
      </c>
      <c r="B305" s="1" t="s">
        <v>1760</v>
      </c>
      <c r="C305" s="1" t="str">
        <f t="shared" si="16"/>
        <v>M.  Parr</v>
      </c>
      <c r="D305" s="1" t="s">
        <v>1761</v>
      </c>
      <c r="E305" s="1" t="s">
        <v>1762</v>
      </c>
      <c r="F305" s="1" t="s">
        <v>16</v>
      </c>
      <c r="G305" s="1" t="s">
        <v>17</v>
      </c>
      <c r="H305" s="1">
        <v>94107</v>
      </c>
      <c r="I305" s="1" t="s">
        <v>1763</v>
      </c>
      <c r="J305" s="15" t="s">
        <v>1764</v>
      </c>
      <c r="K305" s="15" t="s">
        <v>63</v>
      </c>
      <c r="L305" s="1" t="s">
        <v>558</v>
      </c>
    </row>
    <row r="306" spans="1:12" s="1" customFormat="1" ht="25.5" x14ac:dyDescent="0.2">
      <c r="A306" s="1" t="s">
        <v>1765</v>
      </c>
      <c r="B306" s="1" t="s">
        <v>1766</v>
      </c>
      <c r="C306" s="1" t="str">
        <f t="shared" si="16"/>
        <v>Joyce  Book</v>
      </c>
      <c r="D306" s="1" t="s">
        <v>1767</v>
      </c>
      <c r="E306" s="1" t="s">
        <v>1768</v>
      </c>
      <c r="F306" s="1" t="s">
        <v>16</v>
      </c>
      <c r="G306" s="1" t="s">
        <v>17</v>
      </c>
      <c r="H306" s="1">
        <v>94107</v>
      </c>
      <c r="I306" s="1" t="s">
        <v>1769</v>
      </c>
      <c r="J306" s="15" t="s">
        <v>1770</v>
      </c>
      <c r="K306" s="15" t="s">
        <v>21</v>
      </c>
      <c r="L306" s="1" t="s">
        <v>558</v>
      </c>
    </row>
    <row r="307" spans="1:12" s="1" customFormat="1" ht="26.45" customHeight="1" x14ac:dyDescent="0.2">
      <c r="A307" s="1" t="s">
        <v>50</v>
      </c>
      <c r="B307" s="1" t="s">
        <v>51</v>
      </c>
      <c r="C307" s="1" t="str">
        <f t="shared" si="16"/>
        <v>Russel Morine</v>
      </c>
      <c r="D307" s="1" t="s">
        <v>1771</v>
      </c>
      <c r="E307" s="1" t="s">
        <v>1772</v>
      </c>
      <c r="F307" s="1" t="s">
        <v>16</v>
      </c>
      <c r="G307" s="1" t="s">
        <v>17</v>
      </c>
      <c r="H307" s="1">
        <v>94134</v>
      </c>
      <c r="J307" s="17" t="s">
        <v>1773</v>
      </c>
      <c r="K307" s="17" t="s">
        <v>63</v>
      </c>
      <c r="L307" s="1" t="s">
        <v>123</v>
      </c>
    </row>
    <row r="308" spans="1:12" s="1" customFormat="1" x14ac:dyDescent="0.2">
      <c r="A308" s="1" t="s">
        <v>1774</v>
      </c>
      <c r="B308" s="1" t="s">
        <v>1775</v>
      </c>
      <c r="C308" s="1" t="str">
        <f t="shared" si="16"/>
        <v>Fran  Martin</v>
      </c>
      <c r="D308" s="1" t="s">
        <v>1776</v>
      </c>
      <c r="E308" s="1" t="s">
        <v>1777</v>
      </c>
      <c r="F308" s="1" t="s">
        <v>16</v>
      </c>
      <c r="G308" s="1" t="s">
        <v>17</v>
      </c>
      <c r="H308" s="1">
        <v>94134</v>
      </c>
      <c r="I308" s="1" t="s">
        <v>1778</v>
      </c>
      <c r="J308" s="15" t="s">
        <v>1779</v>
      </c>
      <c r="K308" s="15" t="s">
        <v>21</v>
      </c>
      <c r="L308" s="1" t="s">
        <v>123</v>
      </c>
    </row>
    <row r="309" spans="1:12" s="1" customFormat="1" ht="39.6" customHeight="1" x14ac:dyDescent="0.25">
      <c r="A309" s="1" t="s">
        <v>255</v>
      </c>
      <c r="B309" s="1" t="s">
        <v>1142</v>
      </c>
      <c r="C309" s="1" t="str">
        <f t="shared" si="16"/>
        <v>Matt Chamberlain</v>
      </c>
      <c r="D309" s="1" t="s">
        <v>1780</v>
      </c>
      <c r="E309" s="1" t="s">
        <v>1781</v>
      </c>
      <c r="F309" s="1" t="s">
        <v>16</v>
      </c>
      <c r="G309" s="1" t="s">
        <v>17</v>
      </c>
      <c r="H309" s="1" t="s">
        <v>138</v>
      </c>
      <c r="J309" s="1" t="s">
        <v>1782</v>
      </c>
      <c r="K309" s="9" t="s">
        <v>21</v>
      </c>
      <c r="L309" s="1" t="s">
        <v>1783</v>
      </c>
    </row>
    <row r="310" spans="1:12" s="1" customFormat="1" ht="26.45" customHeight="1" x14ac:dyDescent="0.2">
      <c r="A310" s="1" t="s">
        <v>1784</v>
      </c>
      <c r="B310" s="1" t="s">
        <v>1785</v>
      </c>
      <c r="C310" s="1" t="str">
        <f t="shared" si="16"/>
        <v>Jan Bolaffi</v>
      </c>
      <c r="D310" s="1" t="s">
        <v>1786</v>
      </c>
      <c r="E310" s="1" t="s">
        <v>1787</v>
      </c>
      <c r="F310" s="1" t="s">
        <v>16</v>
      </c>
      <c r="G310" s="1" t="s">
        <v>17</v>
      </c>
      <c r="H310" s="1" t="s">
        <v>849</v>
      </c>
      <c r="I310" s="1" t="s">
        <v>1788</v>
      </c>
      <c r="J310" s="17" t="s">
        <v>1789</v>
      </c>
      <c r="K310" s="17" t="s">
        <v>21</v>
      </c>
      <c r="L310" s="1" t="s">
        <v>28</v>
      </c>
    </row>
    <row r="311" spans="1:12" s="1" customFormat="1" ht="39.6" customHeight="1" x14ac:dyDescent="0.25">
      <c r="A311" s="1" t="s">
        <v>1790</v>
      </c>
      <c r="B311" s="1" t="s">
        <v>1791</v>
      </c>
      <c r="C311" s="1" t="str">
        <f t="shared" si="16"/>
        <v>Maelig Morvan</v>
      </c>
      <c r="D311" s="1" t="s">
        <v>1792</v>
      </c>
      <c r="E311" s="1" t="s">
        <v>1793</v>
      </c>
      <c r="F311" s="1" t="s">
        <v>16</v>
      </c>
      <c r="G311" s="1" t="s">
        <v>17</v>
      </c>
      <c r="H311" s="1">
        <v>94122</v>
      </c>
      <c r="I311" s="1" t="s">
        <v>1794</v>
      </c>
      <c r="J311" s="9" t="s">
        <v>1795</v>
      </c>
      <c r="K311" s="9" t="s">
        <v>63</v>
      </c>
      <c r="L311" s="1" t="s">
        <v>1796</v>
      </c>
    </row>
    <row r="312" spans="1:12" s="1" customFormat="1" ht="39.6" customHeight="1" x14ac:dyDescent="0.25">
      <c r="C312" s="1" t="s">
        <v>1797</v>
      </c>
      <c r="D312" s="1" t="s">
        <v>1798</v>
      </c>
      <c r="E312" s="1" t="s">
        <v>1381</v>
      </c>
      <c r="F312" s="1" t="s">
        <v>16</v>
      </c>
      <c r="G312" s="1" t="s">
        <v>17</v>
      </c>
      <c r="H312" s="1">
        <v>94118</v>
      </c>
      <c r="I312" s="1" t="s">
        <v>1382</v>
      </c>
      <c r="J312" s="9" t="s">
        <v>1383</v>
      </c>
      <c r="K312" s="9" t="s">
        <v>63</v>
      </c>
      <c r="L312" s="1" t="s">
        <v>1799</v>
      </c>
    </row>
    <row r="313" spans="1:12" s="1" customFormat="1" x14ac:dyDescent="0.2">
      <c r="A313" s="1" t="s">
        <v>963</v>
      </c>
      <c r="B313" s="1" t="s">
        <v>1800</v>
      </c>
      <c r="C313" s="1" t="str">
        <f>A313&amp;" "&amp;B313</f>
        <v>David Bisho</v>
      </c>
      <c r="D313" s="1" t="s">
        <v>1801</v>
      </c>
      <c r="E313" s="1" t="s">
        <v>1802</v>
      </c>
      <c r="F313" s="1" t="s">
        <v>16</v>
      </c>
      <c r="G313" s="1" t="s">
        <v>17</v>
      </c>
      <c r="H313" s="1" t="s">
        <v>138</v>
      </c>
      <c r="I313" s="1" t="s">
        <v>1803</v>
      </c>
      <c r="J313" s="17" t="s">
        <v>1804</v>
      </c>
      <c r="K313" s="9" t="s">
        <v>21</v>
      </c>
      <c r="L313" s="1" t="s">
        <v>141</v>
      </c>
    </row>
    <row r="314" spans="1:12" s="1" customFormat="1" x14ac:dyDescent="0.2">
      <c r="A314" s="1" t="s">
        <v>1805</v>
      </c>
      <c r="B314" s="1" t="s">
        <v>1806</v>
      </c>
      <c r="C314" s="1" t="str">
        <f>A314&amp;" "&amp;B314</f>
        <v>Anita Theoharis</v>
      </c>
      <c r="D314" s="1" t="s">
        <v>1807</v>
      </c>
      <c r="E314" s="1" t="s">
        <v>1808</v>
      </c>
      <c r="F314" s="1" t="s">
        <v>16</v>
      </c>
      <c r="G314" s="1" t="s">
        <v>17</v>
      </c>
      <c r="H314" s="1">
        <v>94127</v>
      </c>
      <c r="I314" s="1" t="s">
        <v>1809</v>
      </c>
      <c r="J314" s="17" t="s">
        <v>1810</v>
      </c>
      <c r="K314" s="15" t="s">
        <v>21</v>
      </c>
      <c r="L314" s="1" t="s">
        <v>141</v>
      </c>
    </row>
    <row r="315" spans="1:12" s="1" customFormat="1" x14ac:dyDescent="0.2">
      <c r="A315" s="1" t="s">
        <v>1811</v>
      </c>
      <c r="B315" s="1" t="s">
        <v>1812</v>
      </c>
      <c r="C315" s="1" t="str">
        <f>A315&amp;" "&amp;B315</f>
        <v>Brent Plater</v>
      </c>
      <c r="D315" s="1" t="s">
        <v>1813</v>
      </c>
      <c r="E315" s="1" t="s">
        <v>1814</v>
      </c>
      <c r="F315" s="1" t="s">
        <v>16</v>
      </c>
      <c r="G315" s="1" t="s">
        <v>17</v>
      </c>
      <c r="H315" s="1">
        <v>94103</v>
      </c>
      <c r="J315" s="15" t="s">
        <v>1815</v>
      </c>
      <c r="K315" s="9" t="s">
        <v>21</v>
      </c>
      <c r="L315" s="1" t="s">
        <v>64</v>
      </c>
    </row>
    <row r="316" spans="1:12" s="1" customFormat="1" ht="26.45" customHeight="1" x14ac:dyDescent="0.2">
      <c r="C316" s="42" t="s">
        <v>1816</v>
      </c>
      <c r="D316" s="42" t="s">
        <v>1817</v>
      </c>
      <c r="E316" s="42" t="s">
        <v>1818</v>
      </c>
      <c r="F316" s="42" t="s">
        <v>16</v>
      </c>
      <c r="G316" s="42" t="s">
        <v>17</v>
      </c>
      <c r="H316" s="42">
        <v>94103</v>
      </c>
      <c r="I316" s="42" t="s">
        <v>1819</v>
      </c>
      <c r="J316" s="53" t="s">
        <v>1820</v>
      </c>
      <c r="K316" s="43" t="s">
        <v>63</v>
      </c>
      <c r="L316" s="42" t="s">
        <v>106</v>
      </c>
    </row>
    <row r="317" spans="1:12" s="1" customFormat="1" ht="26.45" customHeight="1" x14ac:dyDescent="0.2">
      <c r="A317" s="1" t="s">
        <v>1821</v>
      </c>
      <c r="B317" s="1" t="s">
        <v>1822</v>
      </c>
      <c r="C317" s="1" t="str">
        <f>A317&amp;" "&amp;B317</f>
        <v>Zachary Weisenburger</v>
      </c>
      <c r="D317" s="1" t="s">
        <v>1823</v>
      </c>
      <c r="E317" s="1" t="s">
        <v>1824</v>
      </c>
      <c r="F317" s="1" t="s">
        <v>16</v>
      </c>
      <c r="G317" s="1" t="s">
        <v>17</v>
      </c>
      <c r="H317" s="1">
        <v>94124</v>
      </c>
      <c r="I317" s="1" t="s">
        <v>1825</v>
      </c>
      <c r="J317" s="15" t="s">
        <v>1826</v>
      </c>
      <c r="K317" s="15" t="s">
        <v>63</v>
      </c>
      <c r="L317" s="1" t="s">
        <v>1827</v>
      </c>
    </row>
    <row r="318" spans="1:12" s="1" customFormat="1" x14ac:dyDescent="0.2">
      <c r="A318" s="1" t="s">
        <v>1828</v>
      </c>
      <c r="B318" s="1" t="s">
        <v>1829</v>
      </c>
      <c r="C318" s="1" t="str">
        <f>A318&amp;" "&amp;B318</f>
        <v>York Loo</v>
      </c>
      <c r="D318" s="1" t="s">
        <v>1830</v>
      </c>
      <c r="E318" s="1" t="s">
        <v>1831</v>
      </c>
      <c r="F318" s="1" t="s">
        <v>16</v>
      </c>
      <c r="G318" s="1" t="s">
        <v>17</v>
      </c>
      <c r="H318" s="1" t="s">
        <v>1832</v>
      </c>
      <c r="I318" s="1" t="s">
        <v>1833</v>
      </c>
      <c r="J318" s="17" t="s">
        <v>1834</v>
      </c>
      <c r="K318" s="17" t="s">
        <v>21</v>
      </c>
      <c r="L318" s="1" t="s">
        <v>106</v>
      </c>
    </row>
  </sheetData>
  <sheetProtection algorithmName="SHA-512" hashValue="757JmHlx+pm09JKavGIcIwbjU33wKntKDul3rK7bOXwHQgBMnduboV5rjtpUDqMhfcwrf5RY4UZPJ0Rlk5ueBA==" saltValue="aNqmU0X8VhmiwT+0MdYMBQ==" spinCount="100000" sheet="1" objects="1" scenarios="1" selectLockedCells="1" selectUnlockedCells="1"/>
  <dataValidations count="1">
    <dataValidation type="list" allowBlank="1" showInputMessage="1" showErrorMessage="1" sqref="K1:K1048576" xr:uid="{00000000-0002-0000-0000-000000000000}">
      <formula1>"Electronic, Physical, Both"</formula1>
    </dataValidation>
  </dataValidations>
  <hyperlinks>
    <hyperlink ref="J3" r:id="rId1" xr:uid="{00000000-0004-0000-0000-000000000000}"/>
    <hyperlink ref="J4" r:id="rId2" xr:uid="{00000000-0004-0000-0000-000001000000}"/>
    <hyperlink ref="J5" r:id="rId3" xr:uid="{00000000-0004-0000-0000-000002000000}"/>
    <hyperlink ref="J6" r:id="rId4" xr:uid="{00000000-0004-0000-0000-000003000000}"/>
    <hyperlink ref="J7" r:id="rId5" xr:uid="{00000000-0004-0000-0000-000004000000}"/>
    <hyperlink ref="J8" r:id="rId6" xr:uid="{00000000-0004-0000-0000-000005000000}"/>
    <hyperlink ref="J9" r:id="rId7" xr:uid="{00000000-0004-0000-0000-000006000000}"/>
    <hyperlink ref="J10" r:id="rId8" xr:uid="{00000000-0004-0000-0000-000007000000}"/>
    <hyperlink ref="J11" r:id="rId9" display="mailto:hershmari@gmail.com" xr:uid="{00000000-0004-0000-0000-000008000000}"/>
    <hyperlink ref="J12" r:id="rId10" display="mailto:lchinflute@gmail.com" xr:uid="{00000000-0004-0000-0000-000009000000}"/>
    <hyperlink ref="J14" r:id="rId11" xr:uid="{00000000-0004-0000-0000-00000A000000}"/>
    <hyperlink ref="J18" r:id="rId12" xr:uid="{00000000-0004-0000-0000-00000B000000}"/>
    <hyperlink ref="J20" r:id="rId13" xr:uid="{00000000-0004-0000-0000-00000C000000}"/>
    <hyperlink ref="J21" r:id="rId14" xr:uid="{00000000-0004-0000-0000-00000D000000}"/>
    <hyperlink ref="J22" r:id="rId15" xr:uid="{00000000-0004-0000-0000-00000E000000}"/>
    <hyperlink ref="J23" r:id="rId16" xr:uid="{00000000-0004-0000-0000-00000F000000}"/>
    <hyperlink ref="J24" r:id="rId17" xr:uid="{00000000-0004-0000-0000-000010000000}"/>
    <hyperlink ref="J25" r:id="rId18" display="bvhna.secretary@gmail.com" xr:uid="{00000000-0004-0000-0000-000011000000}"/>
    <hyperlink ref="J26" r:id="rId19" display="mailto:bayviewcac@sfgov.org" xr:uid="{00000000-0004-0000-0000-000012000000}"/>
    <hyperlink ref="J27" r:id="rId20" xr:uid="{00000000-0004-0000-0000-000013000000}"/>
    <hyperlink ref="J28" r:id="rId21" display="mailto:bhesdrb@gmail.com" xr:uid="{00000000-0004-0000-0000-000014000000}"/>
    <hyperlink ref="J30" r:id="rId22" xr:uid="{00000000-0004-0000-0000-000015000000}"/>
    <hyperlink ref="J33" r:id="rId23" xr:uid="{00000000-0004-0000-0000-000016000000}"/>
    <hyperlink ref="J34" r:id="rId24" display="waltonstaff@sfgov.org" xr:uid="{00000000-0004-0000-0000-000017000000}"/>
    <hyperlink ref="J37" r:id="rId25" display="ahsha.safai@sfgov.org" xr:uid="{00000000-0004-0000-0000-000018000000}"/>
    <hyperlink ref="J39" r:id="rId26" display="connie.chan@sfgov.org;" xr:uid="{00000000-0004-0000-0000-000019000000}"/>
    <hyperlink ref="J41" r:id="rId27" display="mailto:SherrillStaff@sfgov.org" xr:uid="{00000000-0004-0000-0000-00001A000000}"/>
    <hyperlink ref="J42" r:id="rId28" display="mailto:Tiff.Lee@sfgov.org" xr:uid="{00000000-0004-0000-0000-00001B000000}"/>
    <hyperlink ref="J43" r:id="rId29" display="Abigail.Rivamontemesa@sfgov.org;" xr:uid="{00000000-0004-0000-0000-00001C000000}"/>
    <hyperlink ref="J45" r:id="rId30" xr:uid="{00000000-0004-0000-0000-00001D000000}"/>
    <hyperlink ref="J46" r:id="rId31" xr:uid="{00000000-0004-0000-0000-00001E000000}"/>
    <hyperlink ref="J47" r:id="rId32" xr:uid="{00000000-0004-0000-0000-00001F000000}"/>
    <hyperlink ref="J48" r:id="rId33" xr:uid="{00000000-0004-0000-0000-000020000000}"/>
    <hyperlink ref="J49" r:id="rId34" xr:uid="{00000000-0004-0000-0000-000021000000}"/>
    <hyperlink ref="J53" r:id="rId35" xr:uid="{00000000-0004-0000-0000-000022000000}"/>
    <hyperlink ref="J54" r:id="rId36" xr:uid="{00000000-0004-0000-0000-000023000000}"/>
    <hyperlink ref="J57" r:id="rId37" xr:uid="{00000000-0004-0000-0000-000024000000}"/>
    <hyperlink ref="J62" r:id="rId38" xr:uid="{00000000-0004-0000-0000-000025000000}"/>
    <hyperlink ref="J64" r:id="rId39" display="mailto:hello@clementstreetsf.com" xr:uid="{00000000-0004-0000-0000-000026000000}"/>
    <hyperlink ref="J66" r:id="rId40" display="mailto:CSFNnotices@gmail.com" xr:uid="{00000000-0004-0000-0000-000027000000}"/>
    <hyperlink ref="J67" r:id="rId41" xr:uid="{00000000-0004-0000-0000-000028000000}"/>
    <hyperlink ref="J68" r:id="rId42" xr:uid="{00000000-0004-0000-0000-000029000000}"/>
    <hyperlink ref="J71" r:id="rId43" xr:uid="{00000000-0004-0000-0000-00002A000000}"/>
    <hyperlink ref="J72" r:id="rId44" xr:uid="{00000000-0004-0000-0000-00002B000000}"/>
    <hyperlink ref="J73" r:id="rId45" xr:uid="{00000000-0004-0000-0000-00002C000000}"/>
    <hyperlink ref="J74" r:id="rId46" xr:uid="{00000000-0004-0000-0000-00002D000000}"/>
    <hyperlink ref="J77" r:id="rId47" display="mailto:rclistad@gmail.com" xr:uid="{00000000-0004-0000-0000-00002E000000}"/>
    <hyperlink ref="J78" r:id="rId48" display="mailto:D4ward.info@gmail.com" xr:uid="{00000000-0004-0000-0000-00002F000000}"/>
    <hyperlink ref="J79" r:id="rId49" xr:uid="{00000000-0004-0000-0000-000030000000}"/>
    <hyperlink ref="J81" r:id="rId50" xr:uid="{00000000-0004-0000-0000-000031000000}"/>
    <hyperlink ref="J82" r:id="rId51" display="duncan@discoverpolk.org" xr:uid="{00000000-0004-0000-0000-000032000000}"/>
    <hyperlink ref="J85" r:id="rId52" display="mailto:vp@dogpatchna.org" xr:uid="{00000000-0004-0000-0000-000033000000}"/>
    <hyperlink ref="J86" r:id="rId53" display="mailto:plu@doloresheights.org" xr:uid="{00000000-0004-0000-0000-000034000000}"/>
    <hyperlink ref="J87" r:id="rId54" display="mailto:landuse@dtna.org" xr:uid="{00000000-0004-0000-0000-000035000000}"/>
    <hyperlink ref="J89" r:id="rId55" xr:uid="{00000000-0004-0000-0000-000036000000}"/>
    <hyperlink ref="J90" r:id="rId56" xr:uid="{00000000-0004-0000-0000-000037000000}"/>
    <hyperlink ref="J92" r:id="rId57" xr:uid="{00000000-0004-0000-0000-000038000000}"/>
    <hyperlink ref="J94" r:id="rId58" display="mailto:president@evna.org" xr:uid="{00000000-0004-0000-0000-000039000000}"/>
    <hyperlink ref="J98" r:id="rId59" xr:uid="{00000000-0004-0000-0000-00003A000000}"/>
    <hyperlink ref="J100" r:id="rId60" xr:uid="{00000000-0004-0000-0000-00003B000000}"/>
    <hyperlink ref="J102" r:id="rId61" xr:uid="{00000000-0004-0000-0000-00003C000000}"/>
    <hyperlink ref="J103" r:id="rId62" xr:uid="{00000000-0004-0000-0000-00003D000000}"/>
    <hyperlink ref="J107" r:id="rId63" xr:uid="{00000000-0004-0000-0000-00003E000000}"/>
    <hyperlink ref="J108" r:id="rId64" xr:uid="{00000000-0004-0000-0000-00003F000000}"/>
    <hyperlink ref="J109" r:id="rId65" xr:uid="{00000000-0004-0000-0000-000040000000}"/>
    <hyperlink ref="J110" r:id="rId66" xr:uid="{00000000-0004-0000-0000-000041000000}"/>
    <hyperlink ref="J112" r:id="rId67" xr:uid="{00000000-0004-0000-0000-000042000000}"/>
    <hyperlink ref="J115" r:id="rId68" xr:uid="{00000000-0004-0000-0000-000043000000}"/>
    <hyperlink ref="J116" r:id="rId69" xr:uid="{00000000-0004-0000-0000-000044000000}"/>
    <hyperlink ref="J117" r:id="rId70" xr:uid="{00000000-0004-0000-0000-000045000000}"/>
    <hyperlink ref="J118" r:id="rId71" xr:uid="{00000000-0004-0000-0000-000046000000}"/>
    <hyperlink ref="J119" r:id="rId72" xr:uid="{00000000-0004-0000-0000-000047000000}"/>
    <hyperlink ref="J120" r:id="rId73" xr:uid="{00000000-0004-0000-0000-000048000000}"/>
    <hyperlink ref="J123" r:id="rId74" xr:uid="{00000000-0004-0000-0000-000049000000}"/>
    <hyperlink ref="J124" r:id="rId75" xr:uid="{00000000-0004-0000-0000-00004A000000}"/>
    <hyperlink ref="J127" r:id="rId76" xr:uid="{00000000-0004-0000-0000-00004B000000}"/>
    <hyperlink ref="J128" r:id="rId77" xr:uid="{00000000-0004-0000-0000-00004C000000}"/>
    <hyperlink ref="J130" r:id="rId78" xr:uid="{00000000-0004-0000-0000-00004D000000}"/>
    <hyperlink ref="J131" r:id="rId79" xr:uid="{00000000-0004-0000-0000-00004E000000}"/>
    <hyperlink ref="J132" r:id="rId80" xr:uid="{00000000-0004-0000-0000-00004F000000}"/>
    <hyperlink ref="J134" r:id="rId81" xr:uid="{00000000-0004-0000-0000-000050000000}"/>
    <hyperlink ref="J135" r:id="rId82" xr:uid="{00000000-0004-0000-0000-000051000000}"/>
    <hyperlink ref="J137" r:id="rId83" xr:uid="{00000000-0004-0000-0000-000052000000}"/>
    <hyperlink ref="J138" r:id="rId84" xr:uid="{00000000-0004-0000-0000-000053000000}"/>
    <hyperlink ref="J139" r:id="rId85" xr:uid="{00000000-0004-0000-0000-000054000000}"/>
    <hyperlink ref="J140" r:id="rId86" xr:uid="{00000000-0004-0000-0000-000055000000}"/>
    <hyperlink ref="J142" r:id="rId87" xr:uid="{00000000-0004-0000-0000-000056000000}"/>
    <hyperlink ref="J143" r:id="rId88" xr:uid="{00000000-0004-0000-0000-000057000000}"/>
    <hyperlink ref="J145" r:id="rId89" xr:uid="{00000000-0004-0000-0000-000058000000}"/>
    <hyperlink ref="J147" r:id="rId90" display="mailto:kronquist@asai-sf.com" xr:uid="{00000000-0004-0000-0000-000059000000}"/>
    <hyperlink ref="J148" r:id="rId91" xr:uid="{00000000-0004-0000-0000-00005A000000}"/>
    <hyperlink ref="J150" r:id="rId92" display="mailto:LPOA@lakesidepoa.org" xr:uid="{00000000-0004-0000-0000-00005B000000}"/>
    <hyperlink ref="J151" r:id="rId93" xr:uid="{00000000-0004-0000-0000-00005C000000}"/>
    <hyperlink ref="J154" r:id="rId94" xr:uid="{00000000-0004-0000-0000-00005D000000}"/>
    <hyperlink ref="J156" r:id="rId95" xr:uid="{00000000-0004-0000-0000-00005E000000}"/>
    <hyperlink ref="J157" r:id="rId96" xr:uid="{00000000-0004-0000-0000-00005F000000}"/>
    <hyperlink ref="J161" r:id="rId97" xr:uid="{00000000-0004-0000-0000-000060000000}"/>
    <hyperlink ref="J162" r:id="rId98" xr:uid="{00000000-0004-0000-0000-000061000000}"/>
    <hyperlink ref="J163" r:id="rId99" xr:uid="{00000000-0004-0000-0000-000062000000}"/>
    <hyperlink ref="J164" r:id="rId100" xr:uid="{00000000-0004-0000-0000-000063000000}"/>
    <hyperlink ref="J165" r:id="rId101" xr:uid="{00000000-0004-0000-0000-000064000000}"/>
    <hyperlink ref="J168" r:id="rId102" display="msadv@pacbell.net;" xr:uid="{00000000-0004-0000-0000-000065000000}"/>
    <hyperlink ref="J169" r:id="rId103" xr:uid="{00000000-0004-0000-0000-000066000000}"/>
    <hyperlink ref="J170" r:id="rId104" xr:uid="{00000000-0004-0000-0000-000067000000}"/>
    <hyperlink ref="J171" r:id="rId105" xr:uid="{00000000-0004-0000-0000-000068000000}"/>
    <hyperlink ref="J172" r:id="rId106" xr:uid="{00000000-0004-0000-0000-000069000000}"/>
    <hyperlink ref="J174" r:id="rId107" xr:uid="{00000000-0004-0000-0000-00006A000000}"/>
    <hyperlink ref="J175" r:id="rId108" xr:uid="{00000000-0004-0000-0000-00006B000000}"/>
    <hyperlink ref="J176" r:id="rId109" xr:uid="{00000000-0004-0000-0000-00006C000000}"/>
    <hyperlink ref="J177" r:id="rId110" xr:uid="{00000000-0004-0000-0000-00006D000000}"/>
    <hyperlink ref="J182" r:id="rId111" xr:uid="{00000000-0004-0000-0000-00006E000000}"/>
    <hyperlink ref="J184" r:id="rId112" xr:uid="{00000000-0004-0000-0000-00006F000000}"/>
    <hyperlink ref="J186" r:id="rId113" display="mailto:joe.rivanobarros@missionlocal.com" xr:uid="{00000000-0004-0000-0000-000071000000}"/>
    <hyperlink ref="J187" r:id="rId114" display="mailto:pflesser555@outlook.com" xr:uid="{00000000-0004-0000-0000-000072000000}"/>
    <hyperlink ref="J188" r:id="rId115" display="ryen@missionmerchants.org" xr:uid="{00000000-0004-0000-0000-000073000000}"/>
    <hyperlink ref="J191" r:id="rId116" xr:uid="{00000000-0004-0000-0000-000074000000}"/>
    <hyperlink ref="J192" r:id="rId117" xr:uid="{00000000-0004-0000-0000-000075000000}"/>
    <hyperlink ref="J195" r:id="rId118" xr:uid="{00000000-0004-0000-0000-000076000000}"/>
    <hyperlink ref="J200" r:id="rId119" xr:uid="{00000000-0004-0000-0000-000077000000}"/>
    <hyperlink ref="J202" r:id="rId120" xr:uid="{00000000-0004-0000-0000-000078000000}"/>
    <hyperlink ref="J203" r:id="rId121" xr:uid="{00000000-0004-0000-0000-000079000000}"/>
    <hyperlink ref="J206" r:id="rId122" xr:uid="{00000000-0004-0000-0000-00007A000000}"/>
    <hyperlink ref="J208" r:id="rId123" xr:uid="{00000000-0004-0000-0000-00007B000000}"/>
    <hyperlink ref="J210" r:id="rId124" xr:uid="{00000000-0004-0000-0000-00007C000000}"/>
    <hyperlink ref="J211" r:id="rId125" xr:uid="{00000000-0004-0000-0000-00007D000000}"/>
    <hyperlink ref="J212" r:id="rId126" xr:uid="{00000000-0004-0000-0000-00007E000000}"/>
    <hyperlink ref="J213" r:id="rId127" xr:uid="{00000000-0004-0000-0000-00007F000000}"/>
    <hyperlink ref="J214" r:id="rId128" xr:uid="{00000000-0004-0000-0000-000080000000}"/>
    <hyperlink ref="J217" r:id="rId129" display="sfplanningdepartment@onebayview.com" xr:uid="{00000000-0004-0000-0000-000081000000}"/>
    <hyperlink ref="J218" r:id="rId130" xr:uid="{00000000-0004-0000-0000-000082000000}"/>
    <hyperlink ref="J219" r:id="rId131" xr:uid="{00000000-0004-0000-0000-000083000000}"/>
    <hyperlink ref="J221" r:id="rId132" xr:uid="{00000000-0004-0000-0000-000084000000}"/>
    <hyperlink ref="J223" r:id="rId133" xr:uid="{00000000-0004-0000-0000-000085000000}"/>
    <hyperlink ref="J224" r:id="rId134" xr:uid="{00000000-0004-0000-0000-000086000000}"/>
    <hyperlink ref="J227" r:id="rId135" xr:uid="{00000000-0004-0000-0000-000087000000}"/>
    <hyperlink ref="J228" r:id="rId136" xr:uid="{00000000-0004-0000-0000-000088000000}"/>
    <hyperlink ref="J231" r:id="rId137" xr:uid="{00000000-0004-0000-0000-000089000000}"/>
    <hyperlink ref="J235" r:id="rId138" xr:uid="{00000000-0004-0000-0000-00008A000000}"/>
    <hyperlink ref="J236" r:id="rId139" xr:uid="{00000000-0004-0000-0000-00008B000000}"/>
    <hyperlink ref="J237" r:id="rId140" xr:uid="{00000000-0004-0000-0000-00008C000000}"/>
    <hyperlink ref="J240" r:id="rId141" xr:uid="{00000000-0004-0000-0000-00008D000000}"/>
    <hyperlink ref="J241" r:id="rId142" xr:uid="{00000000-0004-0000-0000-00008E000000}"/>
    <hyperlink ref="J243" r:id="rId143" xr:uid="{00000000-0004-0000-0000-00008F000000}"/>
    <hyperlink ref="J245" r:id="rId144" xr:uid="{00000000-0004-0000-0000-000090000000}"/>
    <hyperlink ref="J246" r:id="rId145" xr:uid="{00000000-0004-0000-0000-000091000000}"/>
    <hyperlink ref="J251" r:id="rId146" xr:uid="{00000000-0004-0000-0000-000092000000}"/>
    <hyperlink ref="J252" r:id="rId147" xr:uid="{00000000-0004-0000-0000-000093000000}"/>
    <hyperlink ref="J253" r:id="rId148" xr:uid="{00000000-0004-0000-0000-000094000000}"/>
    <hyperlink ref="J254" r:id="rId149" xr:uid="{00000000-0004-0000-0000-000095000000}"/>
    <hyperlink ref="J255" r:id="rId150" xr:uid="{00000000-0004-0000-0000-000096000000}"/>
    <hyperlink ref="J256" r:id="rId151" xr:uid="{00000000-0004-0000-0000-000097000000}"/>
    <hyperlink ref="J257" r:id="rId152" xr:uid="{00000000-0004-0000-0000-000098000000}"/>
    <hyperlink ref="J260" r:id="rId153" xr:uid="{00000000-0004-0000-0000-000099000000}"/>
    <hyperlink ref="J261" r:id="rId154" xr:uid="{00000000-0004-0000-0000-00009A000000}"/>
    <hyperlink ref="J263" r:id="rId155" xr:uid="{00000000-0004-0000-0000-00009B000000}"/>
    <hyperlink ref="J265" r:id="rId156" xr:uid="{00000000-0004-0000-0000-00009C000000}"/>
    <hyperlink ref="J267" r:id="rId157" xr:uid="{00000000-0004-0000-0000-00009D000000}"/>
    <hyperlink ref="J268" r:id="rId158" xr:uid="{00000000-0004-0000-0000-00009E000000}"/>
    <hyperlink ref="J270" r:id="rId159" xr:uid="{00000000-0004-0000-0000-00009F000000}"/>
    <hyperlink ref="J275" r:id="rId160" xr:uid="{00000000-0004-0000-0000-0000A0000000}"/>
    <hyperlink ref="J277" r:id="rId161" xr:uid="{00000000-0004-0000-0000-0000A1000000}"/>
    <hyperlink ref="J279" r:id="rId162" xr:uid="{00000000-0004-0000-0000-0000A2000000}"/>
    <hyperlink ref="J280" r:id="rId163" xr:uid="{00000000-0004-0000-0000-0000A3000000}"/>
    <hyperlink ref="J281" r:id="rId164" xr:uid="{00000000-0004-0000-0000-0000A4000000}"/>
    <hyperlink ref="J283" r:id="rId165" xr:uid="{00000000-0004-0000-0000-0000A5000000}"/>
    <hyperlink ref="J284" r:id="rId166" xr:uid="{00000000-0004-0000-0000-0000A6000000}"/>
    <hyperlink ref="J285" r:id="rId167" display="mailto:pz@thd.org" xr:uid="{00000000-0004-0000-0000-0000A7000000}"/>
    <hyperlink ref="J288" r:id="rId168" xr:uid="{00000000-0004-0000-0000-0000A8000000}"/>
    <hyperlink ref="J293" r:id="rId169" display="aharvey@tjpa.org" xr:uid="{00000000-0004-0000-0000-0000A9000000}"/>
    <hyperlink ref="J295" r:id="rId170" xr:uid="{00000000-0004-0000-0000-0000AA000000}"/>
    <hyperlink ref="J296" r:id="rId171" xr:uid="{00000000-0004-0000-0000-0000AB000000}"/>
    <hyperlink ref="J299" r:id="rId172" xr:uid="{00000000-0004-0000-0000-0000AC000000}"/>
    <hyperlink ref="J302" r:id="rId173" display="mailto:upperchinatownassociation@gmail.com" xr:uid="{00000000-0004-0000-0000-0000AD000000}"/>
    <hyperlink ref="J303" r:id="rId174" xr:uid="{00000000-0004-0000-0000-0000AE000000}"/>
    <hyperlink ref="J305" r:id="rId175" xr:uid="{00000000-0004-0000-0000-0000AF000000}"/>
    <hyperlink ref="J306" r:id="rId176" xr:uid="{00000000-0004-0000-0000-0000B0000000}"/>
    <hyperlink ref="J308" r:id="rId177" xr:uid="{00000000-0004-0000-0000-0000B1000000}"/>
    <hyperlink ref="J311" r:id="rId178" xr:uid="{00000000-0004-0000-0000-0000B2000000}"/>
    <hyperlink ref="J312" r:id="rId179" xr:uid="{00000000-0004-0000-0000-0000B3000000}"/>
    <hyperlink ref="J315" r:id="rId180" xr:uid="{00000000-0004-0000-0000-0000B4000000}"/>
    <hyperlink ref="J183" r:id="rId181" xr:uid="{62282D4F-06E8-4B0A-944A-96AE573FD90D}"/>
    <hyperlink ref="J146" r:id="rId182" xr:uid="{ECB3E51B-B5B8-44FA-891D-2D19143FB125}"/>
    <hyperlink ref="J185" r:id="rId183" display="mailto:jrubio@medasf.org" xr:uid="{9891BAC2-727F-4CCA-859E-EAE83F88DD1A}"/>
    <hyperlink ref="J244" r:id="rId184" xr:uid="{088CB21A-BAC5-421C-9CAF-7C39D99884C7}"/>
  </hyperlinks>
  <pageMargins left="0.7" right="0.7" top="0.75" bottom="0.75" header="0.3" footer="0.3"/>
  <pageSetup paperSize="5" scale="60" orientation="portrait" r:id="rId18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K19"/>
  <sheetViews>
    <sheetView zoomScale="75" zoomScaleNormal="75" zoomScalePageLayoutView="75" workbookViewId="0">
      <selection activeCell="A7" sqref="A7:XFD7"/>
    </sheetView>
  </sheetViews>
  <sheetFormatPr defaultColWidth="8.85546875" defaultRowHeight="12.75" x14ac:dyDescent="0.25"/>
  <cols>
    <col min="1" max="1" width="20.7109375" style="5" customWidth="1"/>
    <col min="2" max="2" width="24.7109375" style="5" customWidth="1"/>
    <col min="3" max="3" width="33.140625" style="5" customWidth="1"/>
    <col min="4" max="4" width="14.85546875" style="5" customWidth="1"/>
    <col min="5" max="5" width="9.7109375" style="5" customWidth="1"/>
    <col min="6" max="6" width="10" style="8" customWidth="1"/>
    <col min="7" max="7" width="27.28515625" style="5" customWidth="1"/>
    <col min="8" max="8" width="35.28515625" style="5" customWidth="1"/>
    <col min="9" max="9" width="36.42578125" style="5" customWidth="1"/>
    <col min="10" max="10" width="8.85546875" style="5" customWidth="1"/>
    <col min="11" max="16384" width="8.85546875" style="5"/>
  </cols>
  <sheetData>
    <row r="1" spans="1:11" s="4" customFormat="1" ht="18" customHeight="1" x14ac:dyDescent="0.25">
      <c r="A1" s="4" t="s">
        <v>3</v>
      </c>
      <c r="B1" s="4" t="str">
        <f>'Complete List_09252026'!C1</f>
        <v>NAME</v>
      </c>
      <c r="C1" s="4" t="str">
        <f>'Complete List_09252026'!E1</f>
        <v>ADDRESS</v>
      </c>
      <c r="D1" s="4" t="str">
        <f>'Complete List_09252026'!F1</f>
        <v>CITY</v>
      </c>
      <c r="E1" s="4" t="str">
        <f>'Complete List_09252026'!G1</f>
        <v>STATE</v>
      </c>
      <c r="F1" s="10" t="str">
        <f>'Complete List_09252026'!H1</f>
        <v>ZIP</v>
      </c>
      <c r="G1" s="4" t="str">
        <f>'Complete List_09252026'!J1</f>
        <v>EMAIL</v>
      </c>
      <c r="H1" s="4" t="s">
        <v>10</v>
      </c>
      <c r="I1" s="4" t="str">
        <f>'Complete List_09252026'!L1</f>
        <v>NEIGHBORHOOD OF INTEREST</v>
      </c>
    </row>
    <row r="2" spans="1:11" s="26" customFormat="1" ht="18" customHeight="1" x14ac:dyDescent="0.25">
      <c r="A2" s="71" t="s">
        <v>1835</v>
      </c>
      <c r="B2" s="69"/>
      <c r="C2" s="69"/>
      <c r="D2" s="69"/>
      <c r="E2" s="69"/>
      <c r="F2" s="69"/>
      <c r="G2" s="69"/>
      <c r="H2" s="69"/>
      <c r="I2" s="69"/>
      <c r="J2" s="28"/>
      <c r="K2" s="28"/>
    </row>
    <row r="3" spans="1:11" s="24" customFormat="1" ht="26.45" customHeight="1" x14ac:dyDescent="0.2">
      <c r="A3" s="24" t="s">
        <v>126</v>
      </c>
      <c r="B3" s="24" t="str">
        <f>'Complete List_09252026'!C19</f>
        <v>Construction and Engineering</v>
      </c>
      <c r="C3" s="24" t="str">
        <f>'Complete List_09252026'!E19</f>
        <v>359 Washington Street, Room 205</v>
      </c>
      <c r="D3" s="24" t="str">
        <f>'Complete List_09252026'!F19</f>
        <v>Daly City</v>
      </c>
      <c r="E3" s="24" t="str">
        <f>'Complete List_09252026'!G19</f>
        <v>CA</v>
      </c>
      <c r="F3" s="24">
        <f>'Complete List_09252026'!H19</f>
        <v>94015</v>
      </c>
      <c r="G3" s="24">
        <f>'Complete List_09252026'!J19</f>
        <v>0</v>
      </c>
      <c r="H3" s="24" t="str">
        <f>'Complete List_09252026'!K19</f>
        <v>Physical</v>
      </c>
      <c r="I3" s="24" t="str">
        <f>'Complete List_09252026'!L19</f>
        <v>Citywide</v>
      </c>
    </row>
    <row r="4" spans="1:11" s="24" customFormat="1" ht="26.45" customHeight="1" x14ac:dyDescent="0.2">
      <c r="A4" s="24" t="s">
        <v>424</v>
      </c>
      <c r="B4" s="24" t="str">
        <f>'Complete List_09252026'!C70</f>
        <v>Chuck Turner</v>
      </c>
      <c r="C4" s="24" t="str">
        <f>'Complete List_09252026'!E70</f>
        <v>5 Thomas Mellon Circle, #128</v>
      </c>
      <c r="D4" s="24" t="str">
        <f>'Complete List_09252026'!F70</f>
        <v>San Francisco</v>
      </c>
      <c r="E4" s="24" t="str">
        <f>'Complete List_09252026'!G70</f>
        <v>CA</v>
      </c>
      <c r="F4" s="24" t="str">
        <f>'Complete List_09252026'!H70</f>
        <v>94134</v>
      </c>
      <c r="G4" s="24" t="str">
        <f>'Complete List_09252026'!J70</f>
        <v>charles.turner@communitydesigncentersf.com</v>
      </c>
      <c r="H4" s="24" t="str">
        <f>'Complete List_09252026'!K70</f>
        <v>Physical</v>
      </c>
      <c r="I4" s="24" t="str">
        <f>'Complete List_09252026'!L70</f>
        <v>Citywide</v>
      </c>
    </row>
    <row r="5" spans="1:11" s="24" customFormat="1" ht="52.9" customHeight="1" x14ac:dyDescent="0.2">
      <c r="A5" s="24" t="s">
        <v>1449</v>
      </c>
      <c r="B5" s="24" t="str">
        <f>'Complete List_09252026'!C250</f>
        <v>Tim Paulson Rudy Gonzalez</v>
      </c>
      <c r="C5" s="24" t="str">
        <f>'Complete List_09252026'!E250</f>
        <v>1188 Franklin Street, Ste.203</v>
      </c>
      <c r="D5" s="24" t="str">
        <f>'Complete List_09252026'!F250</f>
        <v>San Francisco</v>
      </c>
      <c r="E5" s="24" t="str">
        <f>'Complete List_09252026'!G250</f>
        <v>CA</v>
      </c>
      <c r="F5" s="24" t="str">
        <f>'Complete List_09252026'!H250</f>
        <v>94109</v>
      </c>
      <c r="G5" s="24" t="str">
        <f>'Complete List_09252026'!J250</f>
        <v>tim@sfbuildingtradescouncil.org
rudy@sfbuildingtradescouncil.org</v>
      </c>
      <c r="H5" s="24" t="str">
        <f>'Complete List_09252026'!K250</f>
        <v>Physical</v>
      </c>
      <c r="I5" s="24" t="str">
        <f>'Complete List_09252026'!L250</f>
        <v>Citywide</v>
      </c>
    </row>
    <row r="6" spans="1:11" s="24" customFormat="1" x14ac:dyDescent="0.2">
      <c r="A6" s="24" t="s">
        <v>14</v>
      </c>
      <c r="B6" s="24" t="str">
        <f>'Complete List_09252026'!C2</f>
        <v>Aaron Peskin</v>
      </c>
      <c r="C6" s="24" t="str">
        <f>'Complete List_09252026'!E2</f>
        <v>470 Columbus Avenue, Ste. 211</v>
      </c>
      <c r="D6" s="24" t="str">
        <f>'Complete List_09252026'!F2</f>
        <v>San Francisco</v>
      </c>
      <c r="E6" s="24" t="str">
        <f>'Complete List_09252026'!G2</f>
        <v>CA</v>
      </c>
      <c r="F6" s="24" t="str">
        <f>'Complete List_09252026'!H2</f>
        <v>94133</v>
      </c>
      <c r="G6" s="24" t="str">
        <f>'Complete List_09252026'!J2</f>
        <v>aaron.peskin@earthlink.net</v>
      </c>
      <c r="H6" s="24" t="str">
        <f>'Complete List_09252026'!K2</f>
        <v>Physical</v>
      </c>
      <c r="I6" s="24" t="str">
        <f>'Complete List_09252026'!L2</f>
        <v>Citywide</v>
      </c>
    </row>
    <row r="7" spans="1:11" s="24" customFormat="1" x14ac:dyDescent="0.2">
      <c r="A7" s="24" t="s">
        <v>303</v>
      </c>
      <c r="B7" s="24" t="str">
        <f>'Complete List_09252026'!C51</f>
        <v>Leonard Basoco</v>
      </c>
      <c r="C7" s="24" t="str">
        <f>'Complete List_09252026'!E51</f>
        <v>2085 Third Street</v>
      </c>
      <c r="D7" s="24" t="str">
        <f>'Complete List_09252026'!F51</f>
        <v>San Francisco</v>
      </c>
      <c r="E7" s="24" t="str">
        <f>'Complete List_09252026'!G51</f>
        <v>CA</v>
      </c>
      <c r="F7" s="24" t="str">
        <f>'Complete List_09252026'!H51</f>
        <v>94107</v>
      </c>
      <c r="G7" s="24" t="str">
        <f>'Complete List_09252026'!J51</f>
        <v>ASimi@nccrc.org</v>
      </c>
      <c r="H7" s="24" t="str">
        <f>'Complete List_09252026'!K51</f>
        <v>Physical</v>
      </c>
      <c r="I7" s="24" t="str">
        <f>'Complete List_09252026'!L51</f>
        <v>Citywide</v>
      </c>
    </row>
    <row r="8" spans="1:11" s="24" customFormat="1" ht="26.45" customHeight="1" x14ac:dyDescent="0.2">
      <c r="A8" s="24" t="s">
        <v>393</v>
      </c>
      <c r="B8" s="24" t="str">
        <f>'Complete List_09252026'!C65</f>
        <v>Mary Miles</v>
      </c>
      <c r="C8" s="24" t="str">
        <f>'Complete List_09252026'!E65</f>
        <v>364  Page Street, #36</v>
      </c>
      <c r="D8" s="24" t="str">
        <f>'Complete List_09252026'!F65</f>
        <v>San Francisco</v>
      </c>
      <c r="E8" s="24" t="str">
        <f>'Complete List_09252026'!G65</f>
        <v>CA</v>
      </c>
      <c r="F8" s="24" t="str">
        <f>'Complete List_09252026'!H65</f>
        <v>94102</v>
      </c>
      <c r="G8" s="24">
        <f>'Complete List_09252026'!J65</f>
        <v>0</v>
      </c>
      <c r="H8" s="24" t="str">
        <f>'Complete List_09252026'!K65</f>
        <v>Physical</v>
      </c>
      <c r="I8" s="24" t="str">
        <f>'Complete List_09252026'!L65</f>
        <v>Citywide</v>
      </c>
    </row>
    <row r="9" spans="1:11" s="24" customFormat="1" ht="39.6" customHeight="1" x14ac:dyDescent="0.2">
      <c r="A9" s="24" t="s">
        <v>397</v>
      </c>
      <c r="B9" s="24" t="str">
        <f>'Complete List_09252026'!C66</f>
        <v>George Wooding /  Rose Hillson</v>
      </c>
      <c r="C9" s="24" t="str">
        <f>'Complete List_09252026'!E66</f>
        <v>P.O. Box 156616</v>
      </c>
      <c r="D9" s="24" t="str">
        <f>'Complete List_09252026'!F66</f>
        <v>San Francisco</v>
      </c>
      <c r="E9" s="24" t="str">
        <f>'Complete List_09252026'!G66</f>
        <v>CA</v>
      </c>
      <c r="F9" s="24" t="str">
        <f>'Complete List_09252026'!H66</f>
        <v>94115-6616</v>
      </c>
      <c r="G9" s="24" t="str">
        <f>'Complete List_09252026'!J66</f>
        <v>CSFNnotices@gmail.com</v>
      </c>
      <c r="H9" s="24" t="str">
        <f>'Complete List_09252026'!K66</f>
        <v>Physical</v>
      </c>
      <c r="I9" s="24" t="str">
        <f>'Complete List_09252026'!L66</f>
        <v>Citywide</v>
      </c>
    </row>
    <row r="10" spans="1:11" s="24" customFormat="1" ht="26.45" customHeight="1" x14ac:dyDescent="0.2">
      <c r="A10" s="24" t="s">
        <v>899</v>
      </c>
      <c r="B10" s="24" t="str">
        <f>'Complete List_09252026'!C152</f>
        <v>Stephen Williams</v>
      </c>
      <c r="C10" s="24" t="str">
        <f>'Complete List_09252026'!E152</f>
        <v>1934 Divisadero Street</v>
      </c>
      <c r="D10" s="24" t="str">
        <f>'Complete List_09252026'!F152</f>
        <v>San Francisco</v>
      </c>
      <c r="E10" s="24" t="str">
        <f>'Complete List_09252026'!G152</f>
        <v>CA</v>
      </c>
      <c r="F10" s="24" t="str">
        <f>'Complete List_09252026'!H152</f>
        <v>94115</v>
      </c>
      <c r="G10" s="24" t="str">
        <f>'Complete List_09252026'!J152</f>
        <v>SMW@stevewilliamslaw.com</v>
      </c>
      <c r="H10" s="24" t="str">
        <f>'Complete List_09252026'!K152</f>
        <v>Physical</v>
      </c>
      <c r="I10" s="24" t="str">
        <f>'Complete List_09252026'!L152</f>
        <v>Citywide</v>
      </c>
    </row>
    <row r="11" spans="1:11" s="26" customFormat="1" ht="18" customHeight="1" x14ac:dyDescent="0.25">
      <c r="A11" s="68" t="s">
        <v>1836</v>
      </c>
      <c r="B11" s="69"/>
      <c r="C11" s="69"/>
      <c r="D11" s="69"/>
      <c r="E11" s="69"/>
      <c r="F11" s="69"/>
      <c r="G11" s="69"/>
      <c r="H11" s="69"/>
      <c r="I11" s="69"/>
      <c r="J11" s="28"/>
      <c r="K11" s="28"/>
    </row>
    <row r="12" spans="1:11" s="24" customFormat="1" ht="39.6" customHeight="1" x14ac:dyDescent="0.2">
      <c r="A12" s="24" t="s">
        <v>1837</v>
      </c>
      <c r="B12" s="24" t="s">
        <v>1838</v>
      </c>
      <c r="C12" s="24" t="s">
        <v>1839</v>
      </c>
      <c r="D12" s="24" t="s">
        <v>1840</v>
      </c>
      <c r="E12" s="24" t="s">
        <v>17</v>
      </c>
      <c r="F12" s="24">
        <v>94612</v>
      </c>
      <c r="G12" s="24" t="s">
        <v>1841</v>
      </c>
      <c r="H12" s="24" t="s">
        <v>218</v>
      </c>
      <c r="I12" s="24" t="s">
        <v>22</v>
      </c>
    </row>
    <row r="13" spans="1:11" s="26" customFormat="1" ht="18" customHeight="1" x14ac:dyDescent="0.25">
      <c r="A13" s="70" t="s">
        <v>1842</v>
      </c>
      <c r="B13" s="69"/>
      <c r="C13" s="69"/>
      <c r="D13" s="69"/>
      <c r="E13" s="69"/>
      <c r="F13" s="69"/>
      <c r="G13" s="69"/>
      <c r="H13" s="69"/>
      <c r="I13" s="69"/>
      <c r="J13" s="29"/>
      <c r="K13" s="29"/>
    </row>
    <row r="14" spans="1:11" s="24" customFormat="1" ht="26.45" customHeight="1" x14ac:dyDescent="0.2">
      <c r="A14" s="24" t="s">
        <v>1413</v>
      </c>
      <c r="B14" s="24" t="str">
        <f>'Complete List_09252026'!C243</f>
        <v>Layla Stanley</v>
      </c>
      <c r="C14" s="24" t="str">
        <f>'Complete List_09252026'!E243</f>
        <v>558 Capp Street</v>
      </c>
      <c r="D14" s="24" t="str">
        <f>'Complete List_09252026'!F243</f>
        <v>San Francisco</v>
      </c>
      <c r="E14" s="24" t="str">
        <f>'Complete List_09252026'!G243</f>
        <v>CA</v>
      </c>
      <c r="F14" s="24" t="str">
        <f>'Complete List_09252026'!H243</f>
        <v>94110</v>
      </c>
      <c r="G14" s="24" t="str">
        <f>'Complete List_09252026'!J243</f>
        <v>sfplanningnotice@SFTU.org</v>
      </c>
      <c r="H14" s="24" t="str">
        <f>'Complete List_09252026'!K243</f>
        <v>Electronic</v>
      </c>
      <c r="I14" s="24" t="str">
        <f>'Complete List_09252026'!L243</f>
        <v>Citywide</v>
      </c>
    </row>
    <row r="15" spans="1:11" s="24" customFormat="1" ht="39.6" customHeight="1" x14ac:dyDescent="0.2">
      <c r="A15" s="24" t="s">
        <v>1471</v>
      </c>
      <c r="B15" s="24" t="str">
        <f>'Complete List_09252026'!C254</f>
        <v>Alex Lantsberg</v>
      </c>
      <c r="C15" s="24" t="str">
        <f>'Complete List_09252026'!E254</f>
        <v>55 Fillmore Street</v>
      </c>
      <c r="D15" s="24" t="str">
        <f>'Complete List_09252026'!F254</f>
        <v>San Francisco</v>
      </c>
      <c r="E15" s="24" t="str">
        <f>'Complete List_09252026'!G254</f>
        <v>CA</v>
      </c>
      <c r="F15" s="24">
        <f>'Complete List_09252026'!H254</f>
        <v>94117</v>
      </c>
      <c r="G15" s="24" t="str">
        <f>'Complete List_09252026'!J254</f>
        <v>alex@sfeci.org</v>
      </c>
      <c r="H15" s="24" t="str">
        <f>'Complete List_09252026'!K254</f>
        <v>Electronic</v>
      </c>
      <c r="I15" s="24" t="str">
        <f>'Complete List_09252026'!L254</f>
        <v>Citywide</v>
      </c>
    </row>
    <row r="16" spans="1:11" s="24" customFormat="1" ht="26.45" customHeight="1" x14ac:dyDescent="0.2">
      <c r="A16" s="24" t="s">
        <v>1505</v>
      </c>
      <c r="B16" s="24" t="str">
        <f>'Complete List_09252026'!C260</f>
        <v>Danny Campbell</v>
      </c>
      <c r="C16" s="24" t="str">
        <f>'Complete List_09252026'!E260</f>
        <v>1939 Market Street, Suite A</v>
      </c>
      <c r="D16" s="24" t="str">
        <f>'Complete List_09252026'!F260</f>
        <v>San Francisco</v>
      </c>
      <c r="E16" s="24" t="str">
        <f>'Complete List_09252026'!G260</f>
        <v>CA</v>
      </c>
      <c r="F16" s="24">
        <f>'Complete List_09252026'!H260</f>
        <v>94103</v>
      </c>
      <c r="G16" s="24" t="str">
        <f>'Complete List_09252026'!J260</f>
        <v>dannyc@smw104.org</v>
      </c>
      <c r="H16" s="24" t="str">
        <f>'Complete List_09252026'!K260</f>
        <v>Electronic</v>
      </c>
      <c r="I16" s="24" t="str">
        <f>'Complete List_09252026'!L260</f>
        <v>Citywide</v>
      </c>
    </row>
    <row r="17" spans="1:9" s="24" customFormat="1" ht="26.45" customHeight="1" x14ac:dyDescent="0.2">
      <c r="A17" s="24" t="s">
        <v>1537</v>
      </c>
      <c r="B17" s="24" t="str">
        <f>'Complete List_09252026'!C265</f>
        <v>John Valdez</v>
      </c>
      <c r="C17" s="24" t="str">
        <f>'Complete List_09252026'!E265</f>
        <v>2 Townsend Street, 3-105</v>
      </c>
      <c r="D17" s="24" t="str">
        <f>'Complete List_09252026'!F265</f>
        <v>San Francisco</v>
      </c>
      <c r="E17" s="24" t="str">
        <f>'Complete List_09252026'!G265</f>
        <v>CA</v>
      </c>
      <c r="F17" s="24">
        <f>'Complete List_09252026'!H265</f>
        <v>94107</v>
      </c>
      <c r="G17" s="24" t="str">
        <f>'Complete List_09252026'!J265</f>
        <v>sfloans@sbcglobal.net</v>
      </c>
      <c r="H17" s="24" t="str">
        <f>'Complete List_09252026'!K265</f>
        <v>Electronic</v>
      </c>
      <c r="I17" s="24" t="str">
        <f>'Complete List_09252026'!L265</f>
        <v>Citywide</v>
      </c>
    </row>
    <row r="18" spans="1:9" ht="26.45" customHeight="1" x14ac:dyDescent="0.25">
      <c r="A18" s="5" t="str">
        <f>'Complete List_09252026'!D256</f>
        <v>San Francisco SAFE, Inc.</v>
      </c>
      <c r="B18" s="5" t="str">
        <f>'Complete List_09252026'!C256</f>
        <v>Kyra Worthy</v>
      </c>
      <c r="C18" s="5" t="str">
        <f>'Complete List_09252026'!E256</f>
        <v>850 Bryant Street, Room 135</v>
      </c>
      <c r="D18" s="5" t="str">
        <f>'Complete List_09252026'!F256</f>
        <v>San Francisco</v>
      </c>
      <c r="E18" s="5" t="str">
        <f>'Complete List_09252026'!G256</f>
        <v>CA</v>
      </c>
      <c r="F18" s="5">
        <f>'Complete List_09252026'!H256</f>
        <v>94103</v>
      </c>
      <c r="G18" s="5" t="str">
        <f>'Complete List_09252026'!J256</f>
        <v>info@sfsafe.org</v>
      </c>
      <c r="H18" s="5" t="str">
        <f>'Complete List_09252026'!K256</f>
        <v>Electronic</v>
      </c>
      <c r="I18" s="5" t="str">
        <f>'Complete List_09252026'!L256</f>
        <v>Citywide</v>
      </c>
    </row>
    <row r="19" spans="1:9" s="24" customFormat="1" ht="26.45" customHeight="1" x14ac:dyDescent="0.2">
      <c r="A19" s="24" t="str">
        <f>'Complete List_09252026'!D182</f>
        <v>Mission Awareness Project</v>
      </c>
      <c r="B19" s="24" t="str">
        <f>'Complete List_09252026'!C182</f>
        <v>Morgan Noble</v>
      </c>
      <c r="C19" s="24" t="str">
        <f>'Complete List_09252026'!E182</f>
        <v>1198 S. Van Ness Ave #104</v>
      </c>
      <c r="D19" s="24" t="str">
        <f>'Complete List_09252026'!F182</f>
        <v>San Francisco</v>
      </c>
      <c r="E19" s="24" t="str">
        <f>'Complete List_09252026'!G182</f>
        <v>CA</v>
      </c>
      <c r="F19" s="24">
        <f>'Complete List_09252026'!H182</f>
        <v>94110</v>
      </c>
      <c r="G19" s="24" t="str">
        <f>'Complete List_09252026'!J182</f>
        <v>info@missionawarenessproject.com</v>
      </c>
      <c r="H19" s="24" t="str">
        <f>'Complete List_09252026'!K182</f>
        <v>Electronic</v>
      </c>
      <c r="I19" s="24" t="str">
        <f>'Complete List_09252026'!L182</f>
        <v>Citywide</v>
      </c>
    </row>
  </sheetData>
  <autoFilter ref="A1:I1" xr:uid="{00000000-0009-0000-0000-000001000000}">
    <sortState xmlns:xlrd2="http://schemas.microsoft.com/office/spreadsheetml/2017/richdata2" ref="A2:I17">
      <sortCondition descending="1" ref="H1"/>
    </sortState>
  </autoFilter>
  <mergeCells count="3">
    <mergeCell ref="A11:I11"/>
    <mergeCell ref="A13:I13"/>
    <mergeCell ref="A2:I2"/>
  </mergeCells>
  <pageMargins left="0.7" right="0.7" top="0.75" bottom="0.75" header="0.3" footer="0.3"/>
  <pageSetup scale="53"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K33"/>
  <sheetViews>
    <sheetView topLeftCell="A6" zoomScale="75" zoomScaleNormal="75" zoomScalePageLayoutView="75" workbookViewId="0">
      <selection activeCell="A33" sqref="A33:XFD33"/>
    </sheetView>
  </sheetViews>
  <sheetFormatPr defaultColWidth="8.85546875" defaultRowHeight="15" x14ac:dyDescent="0.25"/>
  <cols>
    <col min="1" max="1" width="20.7109375" style="5" customWidth="1"/>
    <col min="2" max="2" width="24.7109375" style="5" customWidth="1"/>
    <col min="3" max="3" width="33.140625" style="5" customWidth="1"/>
    <col min="4" max="4" width="14.85546875" style="5" customWidth="1"/>
    <col min="5" max="5" width="9.7109375" style="5" customWidth="1"/>
    <col min="6" max="6" width="10" style="8" customWidth="1"/>
    <col min="7" max="7" width="42.85546875" style="5" customWidth="1"/>
    <col min="8" max="8" width="35.28515625" customWidth="1"/>
    <col min="9" max="9" width="36.42578125" style="5" customWidth="1"/>
    <col min="10" max="10" width="8.85546875" style="5" customWidth="1"/>
    <col min="11" max="16384" width="8.85546875" style="5"/>
  </cols>
  <sheetData>
    <row r="1" spans="1:11" s="4" customFormat="1" ht="18" customHeight="1" x14ac:dyDescent="0.25">
      <c r="A1" s="4" t="s">
        <v>3</v>
      </c>
      <c r="B1" s="4" t="str">
        <f>'Complete List_09252026'!C1</f>
        <v>NAME</v>
      </c>
      <c r="C1" s="4" t="str">
        <f>'Complete List_09252026'!E1</f>
        <v>ADDRESS</v>
      </c>
      <c r="D1" s="4" t="str">
        <f>'Complete List_09252026'!F1</f>
        <v>CITY</v>
      </c>
      <c r="E1" s="4" t="str">
        <f>'Complete List_09252026'!G1</f>
        <v>STATE</v>
      </c>
      <c r="F1" s="10" t="str">
        <f>'Complete List_09252026'!H1</f>
        <v>ZIP</v>
      </c>
      <c r="G1" s="4" t="str">
        <f>'Complete List_09252026'!J1</f>
        <v>EMAIL</v>
      </c>
      <c r="H1" s="4" t="s">
        <v>10</v>
      </c>
      <c r="I1" s="4" t="str">
        <f>'Complete List_09252026'!L1</f>
        <v>NEIGHBORHOOD OF INTEREST</v>
      </c>
    </row>
    <row r="2" spans="1:11" s="26" customFormat="1" ht="18" customHeight="1" x14ac:dyDescent="0.25">
      <c r="A2" s="71" t="s">
        <v>1835</v>
      </c>
      <c r="B2" s="69"/>
      <c r="C2" s="69"/>
      <c r="D2" s="69"/>
      <c r="E2" s="69"/>
      <c r="F2" s="69"/>
      <c r="G2" s="69"/>
      <c r="H2" s="69"/>
      <c r="I2" s="69"/>
      <c r="J2" s="28"/>
      <c r="K2" s="28"/>
    </row>
    <row r="3" spans="1:11" s="14" customFormat="1" ht="13.15" customHeight="1" x14ac:dyDescent="0.25">
      <c r="A3" s="14" t="s">
        <v>109</v>
      </c>
      <c r="B3" s="14" t="str">
        <f>'Complete List_09252026'!C16</f>
        <v>Linda Burton</v>
      </c>
      <c r="C3" s="14" t="str">
        <f>'Complete List_09252026'!E16</f>
        <v>5075 3rd Street</v>
      </c>
      <c r="D3" s="14" t="str">
        <f>'Complete List_09252026'!F16</f>
        <v>San Francisco</v>
      </c>
      <c r="E3" s="14" t="str">
        <f>'Complete List_09252026'!G16</f>
        <v>CA</v>
      </c>
      <c r="F3" s="14" t="str">
        <f>'Complete List_09252026'!H16</f>
        <v>94124</v>
      </c>
      <c r="G3" s="14">
        <f>'Complete List_09252026'!J16</f>
        <v>0</v>
      </c>
      <c r="H3" s="14" t="str">
        <f>'Complete List_09252026'!K16</f>
        <v>Physical</v>
      </c>
      <c r="I3" s="14" t="str">
        <f>'Complete List_09252026'!L95</f>
        <v>Bayview, Castro/Upper Market</v>
      </c>
    </row>
    <row r="4" spans="1:11" s="14" customFormat="1" ht="13.15" customHeight="1" x14ac:dyDescent="0.25">
      <c r="A4" s="14" t="s">
        <v>601</v>
      </c>
      <c r="C4" s="14" t="str">
        <f>'Complete List_09252026'!E99</f>
        <v>P.O. Box 24297</v>
      </c>
      <c r="D4" s="14" t="str">
        <f>'Complete List_09252026'!F99</f>
        <v>San Francisco</v>
      </c>
      <c r="E4" s="14" t="str">
        <f>'Complete List_09252026'!G99</f>
        <v>CA</v>
      </c>
      <c r="F4" s="14">
        <f>'Complete List_09252026'!H99</f>
        <v>94124</v>
      </c>
      <c r="G4" s="14">
        <f>'Complete List_09252026'!J99</f>
        <v>0</v>
      </c>
      <c r="H4" s="14" t="str">
        <f>'Complete List_09252026'!K99</f>
        <v>Physical</v>
      </c>
      <c r="I4" s="14" t="str">
        <f>'Complete List_09252026'!L99</f>
        <v>Bayview</v>
      </c>
    </row>
    <row r="5" spans="1:11" s="14" customFormat="1" ht="26.45" customHeight="1" x14ac:dyDescent="0.25">
      <c r="A5" s="14" t="s">
        <v>1407</v>
      </c>
      <c r="B5" s="14" t="str">
        <f>'Complete List_09252026'!C242</f>
        <v>Patsy Tito</v>
      </c>
      <c r="C5" s="14" t="str">
        <f>'Complete List_09252026'!E242</f>
        <v>2055 Sunnydale Avenue #100</v>
      </c>
      <c r="D5" s="14" t="str">
        <f>'Complete List_09252026'!F242</f>
        <v>San Francisco</v>
      </c>
      <c r="E5" s="14" t="str">
        <f>'Complete List_09252026'!G242</f>
        <v>CA</v>
      </c>
      <c r="F5" s="14" t="str">
        <f>'Complete List_09252026'!H242</f>
        <v>94134-2611</v>
      </c>
      <c r="G5" s="14">
        <f>'Complete List_09252026'!J242</f>
        <v>0</v>
      </c>
      <c r="H5" s="14" t="str">
        <f>'Complete List_09252026'!K242</f>
        <v>Physical</v>
      </c>
      <c r="I5" s="14" t="str">
        <f>'Complete List_09252026'!L25</f>
        <v>Bayview</v>
      </c>
    </row>
    <row r="6" spans="1:11" s="14" customFormat="1" ht="13.15" customHeight="1" x14ac:dyDescent="0.25">
      <c r="A6" s="14" t="s">
        <v>1511</v>
      </c>
      <c r="B6" s="14" t="str">
        <f>'Complete List_09252026'!C261</f>
        <v>Francesca Panullo</v>
      </c>
      <c r="C6" s="14" t="str">
        <f>'Complete List_09252026'!E261</f>
        <v>1415 Ocean Ave</v>
      </c>
      <c r="D6" s="14" t="str">
        <f>'Complete List_09252026'!F261</f>
        <v>San Francisco</v>
      </c>
      <c r="E6" s="14" t="str">
        <f>'Complete List_09252026'!G261</f>
        <v>CA</v>
      </c>
      <c r="F6" s="14">
        <f>'Complete List_09252026'!H261</f>
        <v>94112</v>
      </c>
      <c r="G6" s="14" t="str">
        <f>'Complete List_09252026'!J261</f>
        <v>sw8644@sherwin.com</v>
      </c>
      <c r="H6" s="14" t="str">
        <f>'Complete List_09252026'!K261</f>
        <v>Physical</v>
      </c>
      <c r="I6" s="14" t="str">
        <f>'Complete List_09252026'!L248</f>
        <v>Bayview, Potrero Hill, Visitacion Valley</v>
      </c>
    </row>
    <row r="7" spans="1:11" s="14" customFormat="1" ht="26.45" customHeight="1" x14ac:dyDescent="0.25">
      <c r="A7" s="14" t="s">
        <v>1573</v>
      </c>
      <c r="B7" s="14" t="str">
        <f>'Complete List_09252026'!C272</f>
        <v>Larry Berry</v>
      </c>
      <c r="C7" s="14" t="str">
        <f>'Complete List_09252026'!E272</f>
        <v>1800 Oakdale Avenue</v>
      </c>
      <c r="D7" s="14" t="str">
        <f>'Complete List_09252026'!F272</f>
        <v>San Francisco</v>
      </c>
      <c r="E7" s="14" t="str">
        <f>'Complete List_09252026'!G272</f>
        <v>CA</v>
      </c>
      <c r="F7" s="14" t="str">
        <f>'Complete List_09252026'!H272</f>
        <v>94124</v>
      </c>
      <c r="G7" s="14">
        <f>'Complete List_09252026'!J272</f>
        <v>0</v>
      </c>
      <c r="H7" s="14" t="str">
        <f>'Complete List_09252026'!K272</f>
        <v>Physical</v>
      </c>
      <c r="I7" s="14" t="str">
        <f>'Complete List_09252026'!L258</f>
        <v>Bayview</v>
      </c>
    </row>
    <row r="8" spans="1:11" s="14" customFormat="1" ht="26.45" customHeight="1" x14ac:dyDescent="0.25">
      <c r="A8" s="14" t="s">
        <v>1594</v>
      </c>
      <c r="B8" s="14" t="str">
        <f>'Complete List_09252026'!C276</f>
        <v>Paul Gawlowski</v>
      </c>
      <c r="C8" s="14" t="str">
        <f>'Complete List_09252026'!E276</f>
        <v>1122 Jamestown Aveue</v>
      </c>
      <c r="D8" s="14" t="str">
        <f>'Complete List_09252026'!F276</f>
        <v>San Francisco</v>
      </c>
      <c r="E8" s="14" t="str">
        <f>'Complete List_09252026'!G276</f>
        <v>CA</v>
      </c>
      <c r="F8" s="14" t="str">
        <f>'Complete List_09252026'!H276</f>
        <v>94124</v>
      </c>
      <c r="G8" s="14" t="str">
        <f>'Complete List_09252026'!J276</f>
        <v>spswoffice@aol.com</v>
      </c>
      <c r="H8" s="14" t="str">
        <f>'Complete List_09252026'!K276</f>
        <v>Physical</v>
      </c>
      <c r="I8" s="14" t="str">
        <f>'Complete List_09252026'!L133</f>
        <v>Bayview</v>
      </c>
    </row>
    <row r="9" spans="1:11" s="14" customFormat="1" ht="13.15" customHeight="1" x14ac:dyDescent="0.25">
      <c r="A9" s="14" t="s">
        <v>14</v>
      </c>
      <c r="B9" s="14" t="str">
        <f>'Complete List_09252026'!C7</f>
        <v>Russel Morine</v>
      </c>
      <c r="C9" s="14" t="str">
        <f>'Complete List_09252026'!E7</f>
        <v>64 Gillette Avenue</v>
      </c>
      <c r="D9" s="14" t="str">
        <f>'Complete List_09252026'!F7</f>
        <v xml:space="preserve">San Francisco </v>
      </c>
      <c r="E9" s="14" t="str">
        <f>'Complete List_09252026'!G7</f>
        <v>CA</v>
      </c>
      <c r="F9" s="14">
        <f>'Complete List_09252026'!H7</f>
        <v>94134</v>
      </c>
      <c r="G9" s="14" t="str">
        <f>'Complete List_09252026'!J7</f>
        <v>rmorine@aol.com</v>
      </c>
      <c r="H9" s="14" t="str">
        <f>'Complete List_09252026'!K7</f>
        <v>Physical</v>
      </c>
      <c r="I9" s="14" t="str">
        <f>'Complete List_09252026'!L242</f>
        <v>Bayview, South of Market</v>
      </c>
    </row>
    <row r="10" spans="1:11" s="14" customFormat="1" ht="26.45" customHeight="1" x14ac:dyDescent="0.25">
      <c r="A10" s="14" t="s">
        <v>573</v>
      </c>
      <c r="B10" s="14" t="str">
        <f>'Complete List_09252026'!C95</f>
        <v>Bruce Murphy</v>
      </c>
      <c r="C10" s="14" t="str">
        <f>'Complete List_09252026'!E95</f>
        <v>1281 Quesada Ave</v>
      </c>
      <c r="D10" s="14" t="str">
        <f>'Complete List_09252026'!F95</f>
        <v>San Francisco</v>
      </c>
      <c r="E10" s="14" t="str">
        <f>'Complete List_09252026'!G95</f>
        <v>CA</v>
      </c>
      <c r="F10" s="14" t="str">
        <f>'Complete List_09252026'!H95</f>
        <v>94124-3334</v>
      </c>
      <c r="G10" s="14" t="str">
        <f>'Complete List_09252026'!J95</f>
        <v>luckylaowai.sf@gmail.com</v>
      </c>
      <c r="H10" s="14" t="str">
        <f>'Complete List_09252026'!K95</f>
        <v>Physical</v>
      </c>
      <c r="I10" s="14" t="str">
        <f>'Complete List_09252026'!L276</f>
        <v>Bayview</v>
      </c>
    </row>
    <row r="11" spans="1:11" s="14" customFormat="1" ht="39.6" customHeight="1" x14ac:dyDescent="0.25">
      <c r="A11" s="14" t="s">
        <v>1343</v>
      </c>
      <c r="B11" s="14" t="str">
        <f>'Complete List_09252026'!C231</f>
        <v>David Gilliam</v>
      </c>
      <c r="C11" s="14" t="str">
        <f>'Complete List_09252026'!E231</f>
        <v>P.O. Box 24181</v>
      </c>
      <c r="D11" s="14" t="str">
        <f>'Complete List_09252026'!F231</f>
        <v>San Francisco</v>
      </c>
      <c r="E11" s="14" t="str">
        <f>'Complete List_09252026'!G231</f>
        <v>CA</v>
      </c>
      <c r="F11" s="14" t="str">
        <f>'Complete List_09252026'!H231</f>
        <v>94124-0181</v>
      </c>
      <c r="G11" s="14" t="str">
        <f>'Complete List_09252026'!J231</f>
        <v>dgumpire@aol.com</v>
      </c>
      <c r="H11" s="14" t="str">
        <f>'Complete List_09252026'!K231</f>
        <v>Physical</v>
      </c>
      <c r="I11" s="14" t="str">
        <f>'Complete List_09252026'!L272</f>
        <v>Bayview</v>
      </c>
    </row>
    <row r="12" spans="1:11" s="14" customFormat="1" ht="35.450000000000003" customHeight="1" x14ac:dyDescent="0.25">
      <c r="A12" s="14" t="s">
        <v>1495</v>
      </c>
      <c r="B12" s="14" t="str">
        <f>'Complete List_09252026'!C258</f>
        <v>Maverick Madison</v>
      </c>
      <c r="C12" s="14" t="str">
        <f>'Complete List_09252026'!E258</f>
        <v>1629 Shafter Avenue</v>
      </c>
      <c r="D12" s="14" t="str">
        <f>'Complete List_09252026'!F258</f>
        <v>San Francisco</v>
      </c>
      <c r="E12" s="14" t="str">
        <f>'Complete List_09252026'!G258</f>
        <v>CA</v>
      </c>
      <c r="F12" s="14" t="str">
        <f>'Complete List_09252026'!H258</f>
        <v>94124</v>
      </c>
      <c r="G12" s="14" t="str">
        <f>'Complete List_09252026'!J258</f>
        <v>misterfingers04@yahoo.com</v>
      </c>
      <c r="H12" s="14" t="str">
        <f>'Complete List_09252026'!K258</f>
        <v>Physical</v>
      </c>
      <c r="I12" s="14" t="str">
        <f>'Complete List_09252026'!L99</f>
        <v>Bayview</v>
      </c>
    </row>
    <row r="13" spans="1:11" s="26" customFormat="1" ht="18" customHeight="1" x14ac:dyDescent="0.25">
      <c r="A13" s="68" t="s">
        <v>1836</v>
      </c>
      <c r="B13" s="69"/>
      <c r="C13" s="69"/>
      <c r="D13" s="69"/>
      <c r="E13" s="69"/>
      <c r="F13" s="69"/>
      <c r="G13" s="69"/>
      <c r="H13" s="69"/>
      <c r="I13" s="69"/>
      <c r="J13" s="28"/>
      <c r="K13" s="28"/>
    </row>
    <row r="14" spans="1:11" s="14" customFormat="1" ht="39.6" customHeight="1" x14ac:dyDescent="0.25">
      <c r="A14" s="14" t="s">
        <v>214</v>
      </c>
      <c r="B14" s="14" t="str">
        <f>'Complete List_09252026'!C34</f>
        <v>Shamann Walton</v>
      </c>
      <c r="C14" s="14" t="str">
        <f>'Complete List_09252026'!E34</f>
        <v>1 Dr. Carlton B Goodlett Place, Room #244</v>
      </c>
      <c r="D14" s="14" t="str">
        <f>'Complete List_09252026'!F34</f>
        <v>San Francisco</v>
      </c>
      <c r="E14" s="14" t="str">
        <f>'Complete List_09252026'!G34</f>
        <v>CA</v>
      </c>
      <c r="F14" s="14" t="str">
        <f>'Complete List_09252026'!H34</f>
        <v>94102-4689</v>
      </c>
      <c r="G14" s="14" t="str">
        <f>'Complete List_09252026'!J34</f>
        <v>waltonstaff@sfgov.org; Percy.Burch@sfgov.org; Tracy.Gallardo@sfgov.org; Natalie.Gee@sfgov.org</v>
      </c>
      <c r="H14" s="14" t="str">
        <f>'Complete List_09252026'!K34</f>
        <v>Both</v>
      </c>
      <c r="I14" s="14" t="str">
        <f>'Complete List_09252026'!L34</f>
        <v>Bayview, Potrero Hill, Visitacion Valley</v>
      </c>
    </row>
    <row r="15" spans="1:11" s="14" customFormat="1" ht="39.6" customHeight="1" x14ac:dyDescent="0.25">
      <c r="A15" s="14" t="s">
        <v>795</v>
      </c>
      <c r="B15" s="14" t="str">
        <f>'Complete List_09252026'!C133</f>
        <v>Michael Hamman</v>
      </c>
      <c r="C15" s="14" t="str">
        <f>'Complete List_09252026'!E133</f>
        <v>702 Earl Street</v>
      </c>
      <c r="D15" s="14" t="str">
        <f>'Complete List_09252026'!F133</f>
        <v>San Francisco</v>
      </c>
      <c r="E15" s="14" t="str">
        <f>'Complete List_09252026'!G133</f>
        <v>CA</v>
      </c>
      <c r="F15" s="14" t="str">
        <f>'Complete List_09252026'!H133</f>
        <v>94124</v>
      </c>
      <c r="G15" s="14" t="str">
        <f>'Complete List_09252026'!J133</f>
        <v>mhamman@igc.org; info@indiabasin.org</v>
      </c>
      <c r="H15" s="14" t="str">
        <f>'Complete List_09252026'!K133</f>
        <v>Both</v>
      </c>
      <c r="I15" s="14" t="str">
        <f>'Complete List_09252026'!L133</f>
        <v>Bayview</v>
      </c>
    </row>
    <row r="16" spans="1:11" s="26" customFormat="1" ht="18" customHeight="1" x14ac:dyDescent="0.25">
      <c r="A16" s="70" t="s">
        <v>1842</v>
      </c>
      <c r="B16" s="69"/>
      <c r="C16" s="69"/>
      <c r="D16" s="69"/>
      <c r="E16" s="69"/>
      <c r="F16" s="69"/>
      <c r="G16" s="69"/>
      <c r="H16" s="69"/>
      <c r="I16" s="69"/>
      <c r="J16" s="29"/>
      <c r="K16" s="29"/>
    </row>
    <row r="17" spans="1:11" s="14" customFormat="1" ht="92.45" customHeight="1" x14ac:dyDescent="0.25">
      <c r="A17" s="14" t="s">
        <v>157</v>
      </c>
      <c r="B17" s="14" t="str">
        <f>'Complete List_09252026'!C24</f>
        <v>Daniel Dodt</v>
      </c>
      <c r="C17" s="14" t="str">
        <f>'Complete List_09252026'!E24</f>
        <v>2027 Oakdale Avenue</v>
      </c>
      <c r="D17" s="14" t="str">
        <f>'Complete List_09252026'!F24</f>
        <v>San Francisco</v>
      </c>
      <c r="E17" s="14" t="str">
        <f>'Complete List_09252026'!G24</f>
        <v>CA</v>
      </c>
      <c r="F17" s="14">
        <f>'Complete List_09252026'!H24</f>
        <v>94124</v>
      </c>
      <c r="G17" s="14" t="str">
        <f>'Complete List_09252026'!J24</f>
        <v>bvhpwatch@mac.com</v>
      </c>
      <c r="H17" s="14" t="str">
        <f>'Complete List_09252026'!K24</f>
        <v>Electronic</v>
      </c>
      <c r="I17" s="14" t="str">
        <f>'Complete List_09252026'!L261</f>
        <v>Bayview, Bernal Heights, Crocker Amazon, Diamond Heights, Excelsior, Glen Park, Inner Sunset, Lakeshore, Noe Valley, Ocean View, Outer Mission, Outer Sunset, Parkside, Potrero Hill, South Bayshore, Twin Peaks, Visitacion Valley, West of Twin Peaks</v>
      </c>
    </row>
    <row r="18" spans="1:11" s="14" customFormat="1" ht="39.6" customHeight="1" x14ac:dyDescent="0.25">
      <c r="A18" s="14" t="s">
        <v>166</v>
      </c>
      <c r="C18" s="14" t="str">
        <f>'Complete List_09252026'!E26</f>
        <v>1550 Evans Avenue</v>
      </c>
      <c r="D18" s="14" t="str">
        <f>'Complete List_09252026'!F26</f>
        <v>San Francisco</v>
      </c>
      <c r="E18" s="14" t="str">
        <f>'Complete List_09252026'!G26</f>
        <v>CA</v>
      </c>
      <c r="F18" s="14">
        <f>'Complete List_09252026'!H26</f>
        <v>94124</v>
      </c>
      <c r="G18" s="14" t="str">
        <f>'Complete List_09252026'!J26</f>
        <v xml:space="preserve">bayviewcac@sfgov.org </v>
      </c>
      <c r="H18" s="14" t="str">
        <f>'Complete List_09252026'!K26</f>
        <v>Electronic</v>
      </c>
      <c r="I18" s="14" t="str">
        <f>'Complete List_09252026'!L26</f>
        <v>Bayview</v>
      </c>
    </row>
    <row r="19" spans="1:11" s="14" customFormat="1" ht="26.45" customHeight="1" x14ac:dyDescent="0.25">
      <c r="A19" s="14" t="s">
        <v>535</v>
      </c>
      <c r="B19" s="14" t="str">
        <f>'Complete List_09252026'!C89</f>
        <v>Earl Shaddix</v>
      </c>
      <c r="C19" s="14" t="str">
        <f>'Complete List_09252026'!E89</f>
        <v>4800 Third Street #404</v>
      </c>
      <c r="D19" s="14" t="str">
        <f>'Complete List_09252026'!F89</f>
        <v>San Francisco</v>
      </c>
      <c r="E19" s="14" t="str">
        <f>'Complete List_09252026'!G89</f>
        <v>CA</v>
      </c>
      <c r="F19" s="14">
        <f>'Complete List_09252026'!H89</f>
        <v>94124</v>
      </c>
      <c r="G19" s="14" t="str">
        <f>'Complete List_09252026'!J89</f>
        <v>earl@edotbayview.com</v>
      </c>
      <c r="H19" s="14" t="str">
        <f>'Complete List_09252026'!K89</f>
        <v>Electronic</v>
      </c>
      <c r="I19" s="14" t="str">
        <f>'Complete List_09252026'!L89</f>
        <v>Bayview</v>
      </c>
    </row>
    <row r="20" spans="1:11" s="14" customFormat="1" ht="39.6" customHeight="1" x14ac:dyDescent="0.25">
      <c r="A20" s="14" t="s">
        <v>713</v>
      </c>
      <c r="B20" s="14" t="str">
        <f>'Complete List_09252026'!C119</f>
        <v>Bradley Angel</v>
      </c>
      <c r="C20" s="14" t="str">
        <f>'Complete List_09252026'!E119</f>
        <v>315 Sutter Street, 2nd Floor</v>
      </c>
      <c r="D20" s="14" t="str">
        <f>'Complete List_09252026'!F119</f>
        <v>San Francisco</v>
      </c>
      <c r="E20" s="14" t="str">
        <f>'Complete List_09252026'!G119</f>
        <v>CA</v>
      </c>
      <c r="F20" s="14">
        <f>'Complete List_09252026'!H119</f>
        <v>94108</v>
      </c>
      <c r="G20" s="14" t="str">
        <f>'Complete List_09252026'!J119</f>
        <v>greenaction@greenaction.org</v>
      </c>
      <c r="H20" s="14" t="str">
        <f>'Complete List_09252026'!K119</f>
        <v>Electronic</v>
      </c>
      <c r="I20" s="14" t="e">
        <f>'Complete List_09252026'!#REF!</f>
        <v>#REF!</v>
      </c>
    </row>
    <row r="21" spans="1:11" s="14" customFormat="1" ht="26.45" customHeight="1" x14ac:dyDescent="0.25">
      <c r="A21" s="14" t="s">
        <v>1438</v>
      </c>
      <c r="B21" s="14" t="str">
        <f>'Complete List_09252026'!C248</f>
        <v>Nube Brown</v>
      </c>
      <c r="C21" s="14" t="str">
        <f>'Complete List_09252026'!E248</f>
        <v>4917 Third Street</v>
      </c>
      <c r="D21" s="14" t="str">
        <f>'Complete List_09252026'!F248</f>
        <v>San Francisco</v>
      </c>
      <c r="E21" s="14" t="str">
        <f>'Complete List_09252026'!G248</f>
        <v>CA</v>
      </c>
      <c r="F21" s="14" t="str">
        <f>'Complete List_09252026'!H248</f>
        <v>94124</v>
      </c>
      <c r="G21" s="14" t="str">
        <f>'Complete List_09252026'!J248</f>
        <v>editor@sfbayview.com</v>
      </c>
      <c r="H21" s="14" t="str">
        <f>'Complete List_09252026'!K248</f>
        <v>Electronic</v>
      </c>
      <c r="I21" s="14" t="str">
        <f>'Complete List_09252026'!L26</f>
        <v>Bayview</v>
      </c>
    </row>
    <row r="22" spans="1:11" s="14" customFormat="1" ht="46.35" customHeight="1" x14ac:dyDescent="0.25">
      <c r="A22" s="14" t="s">
        <v>1823</v>
      </c>
      <c r="B22" s="14" t="str">
        <f>'Complete List_09252026'!C317</f>
        <v>Zachary Weisenburger</v>
      </c>
      <c r="C22" s="14" t="str">
        <f>'Complete List_09252026'!E317</f>
        <v>1715 Yosemite Avenue</v>
      </c>
      <c r="D22" s="14" t="str">
        <f>'Complete List_09252026'!F317</f>
        <v>San Francisco</v>
      </c>
      <c r="E22" s="14" t="str">
        <f>'Complete List_09252026'!G317</f>
        <v>CA</v>
      </c>
      <c r="F22" s="14">
        <f>'Complete List_09252026'!H317</f>
        <v>94124</v>
      </c>
      <c r="G22" s="14" t="str">
        <f>'Complete List_09252026'!J317</f>
        <v xml:space="preserve"> zweisenburger@ycdjobs.org</v>
      </c>
      <c r="H22" s="14" t="str">
        <f>'Complete List_09252026'!K317</f>
        <v>Electronic</v>
      </c>
      <c r="I22" s="14" t="str">
        <f>'Complete List_09252026'!L217</f>
        <v>Bayview, Crocker Amazon, Excelsior, Ocean View, Potrero Hill, Visitacion Valley</v>
      </c>
    </row>
    <row r="23" spans="1:11" s="14" customFormat="1" ht="39.6" customHeight="1" x14ac:dyDescent="0.25">
      <c r="A23" s="14" t="s">
        <v>162</v>
      </c>
      <c r="B23" s="14" t="str">
        <f>'Complete List_09252026'!C25</f>
        <v>Board Secretary</v>
      </c>
      <c r="C23" s="14">
        <f>'Complete List_09252026'!E25</f>
        <v>0</v>
      </c>
      <c r="D23" s="14">
        <f>'Complete List_09252026'!F25</f>
        <v>0</v>
      </c>
      <c r="E23" s="14">
        <f>'Complete List_09252026'!G25</f>
        <v>0</v>
      </c>
      <c r="F23" s="14">
        <f>'Complete List_09252026'!H25</f>
        <v>0</v>
      </c>
      <c r="G23" s="14" t="str">
        <f>'Complete List_09252026'!J25</f>
        <v>bvhna.secretary@gmail.com
bayviewhillsf@gmail.com</v>
      </c>
      <c r="H23" s="14" t="str">
        <f>'Complete List_09252026'!K25</f>
        <v>Electronic</v>
      </c>
      <c r="I23" s="14" t="str">
        <f>'Complete List_09252026'!L7</f>
        <v>Bayview</v>
      </c>
    </row>
    <row r="24" spans="1:11" ht="84.6" customHeight="1" x14ac:dyDescent="0.25">
      <c r="A24" s="11" t="str">
        <f>'Complete List_09252026'!D45</f>
        <v>Both Sides of the Conversation</v>
      </c>
      <c r="B24" s="11" t="str">
        <f>'Complete List_09252026'!C45</f>
        <v>Jon Henry</v>
      </c>
      <c r="C24" s="11" t="str">
        <f>'Complete List_09252026'!E45</f>
        <v>P.O. Box 347518</v>
      </c>
      <c r="D24" s="11" t="str">
        <f>'Complete List_09252026'!F45</f>
        <v>San Francisco</v>
      </c>
      <c r="E24" s="11" t="str">
        <f>'Complete List_09252026'!G45</f>
        <v>CA</v>
      </c>
      <c r="F24" s="11">
        <f>'Complete List_09252026'!H45</f>
        <v>94134</v>
      </c>
      <c r="G24" s="11" t="str">
        <f>'Complete List_09252026'!J45</f>
        <v>jonhenry@bsotc.org</v>
      </c>
      <c r="H24" s="11" t="str">
        <f>'Complete List_09252026'!K45</f>
        <v>Electronic</v>
      </c>
      <c r="I24" s="11" t="str">
        <f>'Complete List_09252026'!L45</f>
        <v>Bayview, Bernal Heights, Crocker Amazon, Downtown/Civic Center, Excelsior, Glen Park, Haight Ashbury, Potrero Hill, South of Market, Treasure Island, Visitacion Valley, West of Twin Peaks, Western Addition</v>
      </c>
      <c r="J24" s="11"/>
      <c r="K24" s="11"/>
    </row>
    <row r="25" spans="1:11" ht="69.75" customHeight="1" x14ac:dyDescent="0.25">
      <c r="A25" s="5" t="str">
        <f>'Complete List_09252026'!D154</f>
        <v>Liberation Alliance for Economic and Social Change</v>
      </c>
      <c r="B25" s="5" t="str">
        <f>'Complete List_09252026'!C154</f>
        <v>Keith Pavlik</v>
      </c>
      <c r="C25" s="5" t="str">
        <f>'Complete List_09252026'!E154</f>
        <v>2969 Mission Street</v>
      </c>
      <c r="D25" s="5" t="str">
        <f>'Complete List_09252026'!F154</f>
        <v>San Francisco</v>
      </c>
      <c r="E25" s="5" t="str">
        <f>'Complete List_09252026'!G154</f>
        <v>CA</v>
      </c>
      <c r="F25" s="5">
        <f>'Complete List_09252026'!H154</f>
        <v>94110</v>
      </c>
      <c r="G25" s="5" t="str">
        <f>'Complete List_09252026'!J154</f>
        <v>info@liberationalliance.org</v>
      </c>
      <c r="H25" s="5" t="str">
        <f>'Complete List_09252026'!K154</f>
        <v>Electronic</v>
      </c>
      <c r="I25" s="5" t="str">
        <f>'Complete List_09252026'!L154</f>
        <v>Bayview, Bernal Heights, Castro/Upper Market, Chinatown, Downtown/Civic Center, Excelsior, Mission, Nob Hill, Noe Valley, Outer Mission, Potrero Hill, South of Market, Western Addition</v>
      </c>
    </row>
    <row r="26" spans="1:11" ht="13.15" customHeight="1" x14ac:dyDescent="0.25">
      <c r="A26" s="5" t="str">
        <f>'Complete List_09252026'!D249</f>
        <v>SF Black Wallstreet</v>
      </c>
      <c r="B26" s="5" t="str">
        <f>'Complete List_09252026'!C249</f>
        <v>Tiffany Carter</v>
      </c>
      <c r="C26" s="5" t="str">
        <f>'Complete List_09252026'!E249</f>
        <v>744 Innes Avenue</v>
      </c>
      <c r="D26" s="5" t="str">
        <f>'Complete List_09252026'!F249</f>
        <v>San Francisco</v>
      </c>
      <c r="E26" s="5" t="str">
        <f>'Complete List_09252026'!G249</f>
        <v>CA</v>
      </c>
      <c r="F26" s="5">
        <f>'Complete List_09252026'!H249</f>
        <v>94124</v>
      </c>
      <c r="G26" s="5" t="str">
        <f>'Complete List_09252026'!J249</f>
        <v>tiffanysfblackwallstreet@gmail.com</v>
      </c>
      <c r="H26" s="5" t="str">
        <f>'Complete List_09252026'!K249</f>
        <v>Electronic</v>
      </c>
      <c r="I26" s="5" t="str">
        <f>'Complete List_09252026'!L249</f>
        <v>Bayview</v>
      </c>
    </row>
    <row r="27" spans="1:11" ht="26.45" customHeight="1" x14ac:dyDescent="0.25">
      <c r="A27" s="5" t="str">
        <f>'Complete List_09252026'!D235</f>
        <v>Rafiki Coalition for Health and Wellness</v>
      </c>
      <c r="B27" s="5" t="str">
        <f>'Complete List_09252026'!C235</f>
        <v>Dr. Monique LeSarre</v>
      </c>
      <c r="C27" s="5" t="str">
        <f>'Complete List_09252026'!E235</f>
        <v>601 Cesar Chavez Street</v>
      </c>
      <c r="D27" s="5" t="str">
        <f>'Complete List_09252026'!F235</f>
        <v>San Francisco</v>
      </c>
      <c r="E27" s="5" t="str">
        <f>'Complete List_09252026'!G235</f>
        <v>CA</v>
      </c>
      <c r="F27" s="5">
        <f>'Complete List_09252026'!H235</f>
        <v>94124</v>
      </c>
      <c r="G27" s="5" t="str">
        <f>'Complete List_09252026'!J235</f>
        <v>devopmentdirector@rafikicoalition.org</v>
      </c>
      <c r="H27" s="5" t="str">
        <f>'Complete List_09252026'!K235</f>
        <v>Electronic</v>
      </c>
      <c r="I27" s="5" t="str">
        <f>'Complete List_09252026'!L235</f>
        <v>Bayview</v>
      </c>
    </row>
    <row r="28" spans="1:11" ht="26.45" customHeight="1" x14ac:dyDescent="0.25">
      <c r="A28" s="5" t="str">
        <f>'Complete List_09252026'!D277</f>
        <v>Stand in Peace International</v>
      </c>
      <c r="B28" s="5" t="str">
        <f>'Complete List_09252026'!C277</f>
        <v>Shervon Hunter</v>
      </c>
      <c r="C28" s="5" t="str">
        <f>'Complete List_09252026'!E277</f>
        <v>45 Tioga Avenue</v>
      </c>
      <c r="D28" s="5" t="str">
        <f>'Complete List_09252026'!F277</f>
        <v>San Francisco</v>
      </c>
      <c r="E28" s="5" t="str">
        <f>'Complete List_09252026'!G277</f>
        <v>CA</v>
      </c>
      <c r="F28" s="5">
        <f>'Complete List_09252026'!H277</f>
        <v>94134</v>
      </c>
      <c r="G28" s="5" t="str">
        <f>'Complete List_09252026'!J277</f>
        <v>standinpeacecommunityprograms@gmail.com</v>
      </c>
      <c r="H28" s="5" t="str">
        <f>'Complete List_09252026'!K277</f>
        <v>Electronic</v>
      </c>
      <c r="I28" s="5" t="str">
        <f>'Complete List_09252026'!L277</f>
        <v>Bayview, Potrero Hill, Visitacion Valley</v>
      </c>
    </row>
    <row r="29" spans="1:11" ht="13.15" customHeight="1" x14ac:dyDescent="0.25">
      <c r="A29" s="5" t="str">
        <f>'Complete List_09252026'!D100</f>
        <v>Family Equity Partners</v>
      </c>
      <c r="B29" s="5" t="str">
        <f>'Complete List_09252026'!C100</f>
        <v>Latoya Pitcher</v>
      </c>
      <c r="C29" s="5" t="str">
        <f>'Complete List_09252026'!E100</f>
        <v>2111 Lane Street #24196</v>
      </c>
      <c r="D29" s="5" t="str">
        <f>'Complete List_09252026'!F100</f>
        <v>San Francisco</v>
      </c>
      <c r="E29" s="5" t="str">
        <f>'Complete List_09252026'!G100</f>
        <v>CA</v>
      </c>
      <c r="F29" s="5">
        <f>'Complete List_09252026'!H100</f>
        <v>94124</v>
      </c>
      <c r="G29" s="5" t="str">
        <f>'Complete List_09252026'!J100</f>
        <v>lpitcher@familyequitypartnerssf.org</v>
      </c>
      <c r="H29" s="5" t="str">
        <f>'Complete List_09252026'!K100</f>
        <v>Electronic</v>
      </c>
      <c r="I29" s="5" t="str">
        <f>'Complete List_09252026'!L100</f>
        <v>Bayview</v>
      </c>
    </row>
    <row r="30" spans="1:11" s="14" customFormat="1" ht="45.75" customHeight="1" x14ac:dyDescent="0.25">
      <c r="A30" s="14" t="s">
        <v>1259</v>
      </c>
      <c r="B30" s="14" t="str">
        <f>'Complete List_09252026'!C217</f>
        <v>Anietie Ekanem</v>
      </c>
      <c r="C30" s="14" t="str">
        <f>'Complete List_09252026'!E217</f>
        <v>5800 3rd Street #1320</v>
      </c>
      <c r="D30" s="14" t="str">
        <f>'Complete List_09252026'!F217</f>
        <v>San Francisco</v>
      </c>
      <c r="E30" s="14" t="str">
        <f>'Complete List_09252026'!G217</f>
        <v>CA</v>
      </c>
      <c r="F30" s="14">
        <f>'Complete List_09252026'!H217</f>
        <v>94124</v>
      </c>
      <c r="G30" s="14" t="str">
        <f>'Complete List_09252026'!J217</f>
        <v>sfplanningdepartment@onebayview.com
aekanem@onebayview.com</v>
      </c>
      <c r="H30" s="14" t="str">
        <f>'Complete List_09252026'!K217</f>
        <v>Electronic</v>
      </c>
      <c r="I30" s="14" t="str">
        <f>'Complete List_09252026'!L217</f>
        <v>Bayview, Crocker Amazon, Excelsior, Ocean View, Potrero Hill, Visitacion Valley</v>
      </c>
    </row>
    <row r="31" spans="1:11" ht="44.25" customHeight="1" x14ac:dyDescent="0.25">
      <c r="A31" s="5" t="str">
        <f>'Complete List_09252026'!D84</f>
        <v>Dogpatch Neighborhood Association</v>
      </c>
      <c r="B31" s="5" t="str">
        <f>'Complete List_09252026'!C84</f>
        <v>Michael Berkowitz</v>
      </c>
      <c r="C31" s="5" t="str">
        <f>'Complete List_09252026'!E84</f>
        <v>1278 Minnesota Street</v>
      </c>
      <c r="D31" s="5" t="str">
        <f>'Complete List_09252026'!F84</f>
        <v>San Francisco</v>
      </c>
      <c r="E31" s="5" t="str">
        <f>'Complete List_09252026'!G84</f>
        <v>CA</v>
      </c>
      <c r="F31" s="5" t="str">
        <f>'Complete List_09252026'!H84</f>
        <v>94107</v>
      </c>
      <c r="G31" s="5" t="str">
        <f>'Complete List_09252026'!J84</f>
        <v>info@dogpatchna.org; president@dogpatchna.org</v>
      </c>
      <c r="H31" s="5" t="str">
        <f>'Complete List_09252026'!K84</f>
        <v>Electronic</v>
      </c>
      <c r="I31" s="5" t="str">
        <f>'Complete List_09252026'!L84</f>
        <v>Bayview, Mission, Potrero Hill, South of Market</v>
      </c>
    </row>
    <row r="32" spans="1:11" ht="39.6" customHeight="1" x14ac:dyDescent="0.25">
      <c r="A32" s="5" t="str">
        <f>'Complete List_09252026'!D85</f>
        <v>Dogpatch Neighborhood Association</v>
      </c>
      <c r="B32" s="5" t="str">
        <f>'Complete List_09252026'!C85</f>
        <v>Donovan Lacy</v>
      </c>
      <c r="C32" s="5" t="str">
        <f>'Complete List_09252026'!E85</f>
        <v>1278 Minnesota Street</v>
      </c>
      <c r="D32" s="5" t="str">
        <f>'Complete List_09252026'!F85</f>
        <v>San Francisco</v>
      </c>
      <c r="E32" s="5" t="str">
        <f>'Complete List_09252026'!G85</f>
        <v>CA</v>
      </c>
      <c r="F32" s="5" t="str">
        <f>'Complete List_09252026'!H85</f>
        <v>94107</v>
      </c>
      <c r="G32" s="5" t="str">
        <f>'Complete List_09252026'!J85</f>
        <v>vp@dogpatchna.org</v>
      </c>
      <c r="H32" s="5" t="str">
        <f>'Complete List_09252026'!K85</f>
        <v>Electronic</v>
      </c>
      <c r="I32" s="5" t="str">
        <f>'Complete List_09252026'!L85</f>
        <v>Bayview, Mission, Potrero Hill, South of Market</v>
      </c>
    </row>
    <row r="33" spans="1:9" ht="38.25" x14ac:dyDescent="0.25">
      <c r="A33" s="5" t="str">
        <f>'Complete List_09252026'!D146</f>
        <v>Keep Crocker Real</v>
      </c>
      <c r="B33" s="5" t="str">
        <f>'Complete List_09252026'!C146</f>
        <v>KC Real</v>
      </c>
      <c r="C33" s="5">
        <f>'Complete List_09252026'!E146</f>
        <v>0</v>
      </c>
      <c r="D33" s="5" t="str">
        <f>'Complete List_09252026'!F146</f>
        <v>San Francisco</v>
      </c>
      <c r="E33" s="5" t="str">
        <f>'Complete List_09252026'!G146</f>
        <v>CA</v>
      </c>
      <c r="F33" s="5">
        <f>'Complete List_09252026'!H146</f>
        <v>94112</v>
      </c>
      <c r="G33" s="5" t="str">
        <f>'Complete List_09252026'!J146</f>
        <v>hello@keepcrockerreal.com</v>
      </c>
      <c r="H33" s="5" t="str">
        <f>'Complete List_09252026'!K146</f>
        <v>Electronic</v>
      </c>
      <c r="I33" s="5" t="str">
        <f>'Complete List_09252026'!L146</f>
        <v>Bayview, Crocker Amazon, Excelsior, Glen Park, Outer Mission, Visitacion Valley</v>
      </c>
    </row>
  </sheetData>
  <autoFilter ref="A1:H1" xr:uid="{00000000-0009-0000-0000-000002000000}">
    <sortState xmlns:xlrd2="http://schemas.microsoft.com/office/spreadsheetml/2017/richdata2" ref="A2:H16">
      <sortCondition descending="1" ref="H1"/>
    </sortState>
  </autoFilter>
  <mergeCells count="3">
    <mergeCell ref="A13:I13"/>
    <mergeCell ref="A2:I2"/>
    <mergeCell ref="A16:I16"/>
  </mergeCells>
  <pageMargins left="0.7" right="0.7" top="0.75" bottom="0.75" header="0.3" footer="0.3"/>
  <pageSetup scale="10" orientation="landscape" horizontalDpi="4294967292" verticalDpi="429496729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K22"/>
  <sheetViews>
    <sheetView zoomScale="75" zoomScaleNormal="75" zoomScalePageLayoutView="75" workbookViewId="0">
      <selection activeCell="A10" sqref="A10:I10"/>
    </sheetView>
  </sheetViews>
  <sheetFormatPr defaultColWidth="8.85546875" defaultRowHeight="12.75" x14ac:dyDescent="0.25"/>
  <cols>
    <col min="1" max="1" width="20.7109375" style="5" customWidth="1"/>
    <col min="2" max="2" width="24.7109375" style="5" customWidth="1"/>
    <col min="3" max="3" width="33.140625" style="5" customWidth="1"/>
    <col min="4" max="4" width="14.85546875" style="5" customWidth="1"/>
    <col min="5" max="5" width="9.7109375" style="5" customWidth="1"/>
    <col min="6" max="6" width="10" style="8" customWidth="1"/>
    <col min="7" max="7" width="27.28515625" style="5" customWidth="1"/>
    <col min="8" max="8" width="35.28515625" style="5" customWidth="1"/>
    <col min="9" max="9" width="36.42578125" style="5" customWidth="1"/>
    <col min="10" max="10" width="8.85546875" style="5" customWidth="1"/>
    <col min="11" max="16384" width="8.85546875" style="5"/>
  </cols>
  <sheetData>
    <row r="1" spans="1:11" s="4" customFormat="1" ht="18" customHeight="1" x14ac:dyDescent="0.25">
      <c r="A1" s="4" t="s">
        <v>3</v>
      </c>
      <c r="B1" s="4" t="str">
        <f>'Complete List_09252026'!C1</f>
        <v>NAME</v>
      </c>
      <c r="C1" s="4" t="str">
        <f>'Complete List_09252026'!E1</f>
        <v>ADDRESS</v>
      </c>
      <c r="D1" s="4" t="str">
        <f>'Complete List_09252026'!F1</f>
        <v>CITY</v>
      </c>
      <c r="E1" s="4" t="str">
        <f>'Complete List_09252026'!G1</f>
        <v>STATE</v>
      </c>
      <c r="F1" s="10" t="str">
        <f>'Complete List_09252026'!H1</f>
        <v>ZIP</v>
      </c>
      <c r="G1" s="4" t="str">
        <f>'Complete List_09252026'!J1</f>
        <v>EMAIL</v>
      </c>
      <c r="H1" s="4" t="s">
        <v>10</v>
      </c>
      <c r="I1" s="4" t="str">
        <f>'Complete List_09252026'!L1</f>
        <v>NEIGHBORHOOD OF INTEREST</v>
      </c>
    </row>
    <row r="2" spans="1:11" s="26" customFormat="1" ht="18" customHeight="1" x14ac:dyDescent="0.25">
      <c r="A2" s="71" t="s">
        <v>1835</v>
      </c>
      <c r="B2" s="69"/>
      <c r="C2" s="69"/>
      <c r="D2" s="69"/>
      <c r="E2" s="69"/>
      <c r="F2" s="69"/>
      <c r="G2" s="69"/>
      <c r="H2" s="69"/>
      <c r="I2" s="69"/>
      <c r="J2" s="28"/>
      <c r="K2" s="28"/>
    </row>
    <row r="3" spans="1:11" s="14" customFormat="1" ht="26.45" customHeight="1" x14ac:dyDescent="0.25">
      <c r="A3" s="14" t="s">
        <v>184</v>
      </c>
      <c r="B3" s="14" t="str">
        <f>'Complete List_09252026'!C29</f>
        <v>Rachel Ebora</v>
      </c>
      <c r="C3" s="14" t="str">
        <f>'Complete List_09252026'!E29</f>
        <v>515 Cortland Avenue</v>
      </c>
      <c r="D3" s="14" t="str">
        <f>'Complete List_09252026'!F29</f>
        <v>San Francisco</v>
      </c>
      <c r="E3" s="14" t="str">
        <f>'Complete List_09252026'!G29</f>
        <v>CA</v>
      </c>
      <c r="F3" s="14" t="str">
        <f>'Complete List_09252026'!H29</f>
        <v>94110</v>
      </c>
      <c r="G3" s="14">
        <f>'Complete List_09252026'!J29</f>
        <v>0</v>
      </c>
      <c r="H3" s="14" t="str">
        <f>'Complete List_09252026'!K29</f>
        <v>Physical</v>
      </c>
      <c r="I3" s="14" t="str">
        <f>'Complete List_09252026'!L29</f>
        <v>Bernal Heights</v>
      </c>
    </row>
    <row r="4" spans="1:11" s="14" customFormat="1" ht="26.45" customHeight="1" x14ac:dyDescent="0.25">
      <c r="A4" s="14" t="s">
        <v>417</v>
      </c>
      <c r="B4" s="14" t="str">
        <f>'Complete List_09252026'!C69</f>
        <v>Buddy Choy</v>
      </c>
      <c r="C4" s="14" t="str">
        <f>'Complete List_09252026'!E69</f>
        <v>157 Coleridge Street</v>
      </c>
      <c r="D4" s="14" t="str">
        <f>'Complete List_09252026'!F69</f>
        <v>San Francisco</v>
      </c>
      <c r="E4" s="14" t="str">
        <f>'Complete List_09252026'!G69</f>
        <v>CA</v>
      </c>
      <c r="F4" s="14" t="str">
        <f>'Complete List_09252026'!H69</f>
        <v>94110</v>
      </c>
      <c r="G4" s="14" t="str">
        <f>'Complete List_09252026'!J69</f>
        <v>choytate@gmail.com</v>
      </c>
      <c r="H4" s="14" t="str">
        <f>'Complete List_09252026'!K69</f>
        <v>Physical</v>
      </c>
      <c r="I4" s="14" t="str">
        <f>'Complete List_09252026'!L69</f>
        <v>Bernal Heights, Mission, Noe Valley</v>
      </c>
    </row>
    <row r="5" spans="1:11" s="14" customFormat="1" ht="26.45" customHeight="1" x14ac:dyDescent="0.25">
      <c r="A5" s="14" t="s">
        <v>622</v>
      </c>
      <c r="B5" s="14" t="str">
        <f>'Complete List_09252026'!C103</f>
        <v>Saskia Verbeck</v>
      </c>
      <c r="C5" s="14" t="str">
        <f>'Complete List_09252026'!E103</f>
        <v>631 Florida Street</v>
      </c>
      <c r="D5" s="14" t="str">
        <f>'Complete List_09252026'!F103</f>
        <v>San Francisco</v>
      </c>
      <c r="E5" s="14" t="str">
        <f>'Complete List_09252026'!G103</f>
        <v>CA</v>
      </c>
      <c r="F5" s="14">
        <f>'Complete List_09252026'!H103</f>
        <v>94110</v>
      </c>
      <c r="G5" s="14" t="str">
        <f>'Complete List_09252026'!J103</f>
        <v>nohoo999@yahoo.com</v>
      </c>
      <c r="H5" s="14" t="str">
        <f>'Complete List_09252026'!K103</f>
        <v>Physical</v>
      </c>
      <c r="I5" s="14" t="str">
        <f>'Complete List_09252026'!L103</f>
        <v>Bernal Heights</v>
      </c>
    </row>
    <row r="6" spans="1:11" s="14" customFormat="1" x14ac:dyDescent="0.25">
      <c r="A6" s="14" t="s">
        <v>777</v>
      </c>
      <c r="B6" s="14" t="str">
        <f>'Complete List_09252026'!C130</f>
        <v>Aron Deorsey</v>
      </c>
      <c r="C6" s="14" t="str">
        <f>'Complete List_09252026'!E130</f>
        <v xml:space="preserve">2887 Bryant St. </v>
      </c>
      <c r="D6" s="14" t="str">
        <f>'Complete List_09252026'!F130</f>
        <v>San Francisco</v>
      </c>
      <c r="E6" s="14" t="str">
        <f>'Complete List_09252026'!G130</f>
        <v>CA</v>
      </c>
      <c r="F6" s="14">
        <f>'Complete List_09252026'!H130</f>
        <v>94110</v>
      </c>
      <c r="G6" s="14" t="str">
        <f>'Complete List_09252026'!J130</f>
        <v>aron.deorsey@gmail.com</v>
      </c>
      <c r="H6" s="14" t="str">
        <f>'Complete List_09252026'!K130</f>
        <v>Physical</v>
      </c>
      <c r="I6" s="14" t="str">
        <f>'Complete List_09252026'!L130</f>
        <v>Bernal Heights, Outer Mission</v>
      </c>
    </row>
    <row r="7" spans="1:11" s="14" customFormat="1" ht="92.45" customHeight="1" x14ac:dyDescent="0.25">
      <c r="A7" s="14" t="s">
        <v>1511</v>
      </c>
      <c r="B7" s="14" t="str">
        <f>'Complete List_09252026'!C261</f>
        <v>Francesca Panullo</v>
      </c>
      <c r="C7" s="14" t="str">
        <f>'Complete List_09252026'!E261</f>
        <v>1415 Ocean Ave</v>
      </c>
      <c r="D7" s="14" t="str">
        <f>'Complete List_09252026'!F261</f>
        <v>San Francisco</v>
      </c>
      <c r="E7" s="14" t="str">
        <f>'Complete List_09252026'!G261</f>
        <v>CA</v>
      </c>
      <c r="F7" s="14">
        <f>'Complete List_09252026'!H261</f>
        <v>94112</v>
      </c>
      <c r="G7" s="14" t="str">
        <f>'Complete List_09252026'!J261</f>
        <v>sw8644@sherwin.com</v>
      </c>
      <c r="H7" s="14" t="str">
        <f>'Complete List_09252026'!K261</f>
        <v>Physical</v>
      </c>
      <c r="I7" s="14" t="str">
        <f>'Complete List_09252026'!L261</f>
        <v>Bayview, Bernal Heights, Crocker Amazon, Diamond Heights, Excelsior, Glen Park, Inner Sunset, Lakeshore, Noe Valley, Ocean View, Outer Mission, Outer Sunset, Parkside, Potrero Hill, South Bayshore, Twin Peaks, Visitacion Valley, West of Twin Peaks</v>
      </c>
    </row>
    <row r="8" spans="1:11" s="14" customFormat="1" ht="26.45" customHeight="1" x14ac:dyDescent="0.25">
      <c r="A8" s="14" t="s">
        <v>196</v>
      </c>
      <c r="B8" s="14" t="str">
        <f>'Complete List_09252026'!C31</f>
        <v>Andre Rothblatt</v>
      </c>
      <c r="C8" s="14" t="str">
        <f>'Complete List_09252026'!E31</f>
        <v>475 Nevada Street</v>
      </c>
      <c r="D8" s="14" t="str">
        <f>'Complete List_09252026'!F31</f>
        <v>San Francisco</v>
      </c>
      <c r="E8" s="14" t="str">
        <f>'Complete List_09252026'!G31</f>
        <v>CA</v>
      </c>
      <c r="F8" s="14" t="str">
        <f>'Complete List_09252026'!H31</f>
        <v>94110</v>
      </c>
      <c r="G8" s="14" t="str">
        <f>'Complete List_09252026'!J31</f>
        <v>arothblatt@aol.com</v>
      </c>
      <c r="H8" s="14" t="str">
        <f>'Complete List_09252026'!K31</f>
        <v>Physical</v>
      </c>
      <c r="I8" s="14" t="str">
        <f>'Complete List_09252026'!L31</f>
        <v>Bernal Heights</v>
      </c>
    </row>
    <row r="9" spans="1:11" s="14" customFormat="1" ht="52.9" customHeight="1" x14ac:dyDescent="0.25">
      <c r="A9" s="14" t="s">
        <v>1417</v>
      </c>
      <c r="B9" s="14" t="str">
        <f>'Complete List_09252026'!C244</f>
        <v>Sue Hestor</v>
      </c>
      <c r="C9" s="14" t="str">
        <f>'Complete List_09252026'!E244</f>
        <v>329 Highland Ave</v>
      </c>
      <c r="D9" s="14" t="str">
        <f>'Complete List_09252026'!F244</f>
        <v>San Francisco</v>
      </c>
      <c r="E9" s="14" t="str">
        <f>'Complete List_09252026'!G244</f>
        <v>CA</v>
      </c>
      <c r="F9" s="14">
        <f>'Complete List_09252026'!H244</f>
        <v>94110</v>
      </c>
      <c r="G9" s="14" t="str">
        <f>'Complete List_09252026'!J244</f>
        <v>hestor@earthlink.net</v>
      </c>
      <c r="H9" s="14" t="s">
        <v>21</v>
      </c>
      <c r="I9" s="14" t="str">
        <f>'Complete List_09252026'!L244</f>
        <v>Bernal Heights, Chinatown, Downtown/Civic Center, Mission</v>
      </c>
    </row>
    <row r="10" spans="1:11" s="26" customFormat="1" ht="18" customHeight="1" x14ac:dyDescent="0.25">
      <c r="A10" s="68" t="s">
        <v>1836</v>
      </c>
      <c r="B10" s="69"/>
      <c r="C10" s="69"/>
      <c r="D10" s="69"/>
      <c r="E10" s="69"/>
      <c r="F10" s="69"/>
      <c r="G10" s="69"/>
      <c r="H10" s="69"/>
      <c r="I10" s="69"/>
      <c r="J10" s="28"/>
    </row>
    <row r="11" spans="1:11" s="14" customFormat="1" ht="45.75" customHeight="1" x14ac:dyDescent="0.25">
      <c r="A11" s="14" t="str">
        <f>'Complete List_09252026'!D44</f>
        <v>Board of Supervisors</v>
      </c>
      <c r="B11" s="14" t="str">
        <f>'Complete List_09252026'!C44</f>
        <v>Jackie Fielder</v>
      </c>
      <c r="C11" s="14" t="str">
        <f>'Complete List_09252026'!E44</f>
        <v>1 Dr. Carlton B Goodlett Place, Room #244</v>
      </c>
      <c r="D11" s="14" t="str">
        <f>'Complete List_09252026'!F44</f>
        <v>San Francisco</v>
      </c>
      <c r="E11" s="14" t="str">
        <f>'Complete List_09252026'!G44</f>
        <v>CA</v>
      </c>
      <c r="F11" s="14" t="str">
        <f>'Complete List_09252026'!H44</f>
        <v>94102-4689</v>
      </c>
      <c r="G11" s="14" t="str">
        <f>'Complete List_09252026'!J44</f>
        <v>FielderStaff@sfgov.org;
Ana.Herrera@sfgov.org;
Preston.Kilgore@sfgov.org</v>
      </c>
      <c r="H11" s="14" t="str">
        <f>'Complete List_09252026'!K44</f>
        <v>Both</v>
      </c>
      <c r="I11" s="14" t="str">
        <f>'Complete List_09252026'!L44</f>
        <v>Bernal Heights, Excelsior, Mission, Visitacion Valley</v>
      </c>
    </row>
    <row r="12" spans="1:11" s="26" customFormat="1" ht="18" customHeight="1" x14ac:dyDescent="0.25">
      <c r="A12" s="70" t="s">
        <v>1842</v>
      </c>
      <c r="B12" s="69"/>
      <c r="C12" s="69"/>
      <c r="D12" s="69"/>
      <c r="E12" s="69"/>
      <c r="F12" s="69"/>
      <c r="G12" s="69"/>
      <c r="H12" s="69"/>
      <c r="I12" s="69"/>
      <c r="J12" s="29"/>
      <c r="K12" s="29"/>
    </row>
    <row r="13" spans="1:11" s="14" customFormat="1" ht="26.45" customHeight="1" x14ac:dyDescent="0.25">
      <c r="A13" s="14" t="s">
        <v>171</v>
      </c>
      <c r="B13" s="14" t="str">
        <f>'Complete List_09252026'!C27</f>
        <v>Sophie Constantinou</v>
      </c>
      <c r="C13" s="14" t="str">
        <f>'Complete List_09252026'!E27</f>
        <v>22 Richland Avenue</v>
      </c>
      <c r="D13" s="14" t="str">
        <f>'Complete List_09252026'!F27</f>
        <v>San Francisco</v>
      </c>
      <c r="E13" s="14" t="str">
        <f>'Complete List_09252026'!G27</f>
        <v>CA</v>
      </c>
      <c r="F13" s="14">
        <f>'Complete List_09252026'!H27</f>
        <v>94110</v>
      </c>
      <c r="G13" s="14" t="str">
        <f>'Complete List_09252026'!J27</f>
        <v>bernalcutpath@gmail.com</v>
      </c>
      <c r="H13" s="14" t="str">
        <f>'Complete List_09252026'!K27</f>
        <v>Electronic</v>
      </c>
      <c r="I13" s="14" t="str">
        <f>'Complete List_09252026'!L27</f>
        <v>Bernal Heights, Glen Park</v>
      </c>
    </row>
    <row r="14" spans="1:11" s="14" customFormat="1" ht="39.6" customHeight="1" x14ac:dyDescent="0.25">
      <c r="A14" s="14" t="s">
        <v>178</v>
      </c>
      <c r="B14" s="14" t="str">
        <f>'Complete List_09252026'!C28</f>
        <v>Wendy Cowles</v>
      </c>
      <c r="C14" s="14" t="str">
        <f>'Complete List_09252026'!E28</f>
        <v>89 Banks Street</v>
      </c>
      <c r="D14" s="14" t="str">
        <f>'Complete List_09252026'!F28</f>
        <v>San Francisco</v>
      </c>
      <c r="E14" s="14" t="str">
        <f>'Complete List_09252026'!G28</f>
        <v>CA</v>
      </c>
      <c r="F14" s="14">
        <f>'Complete List_09252026'!H28</f>
        <v>94110</v>
      </c>
      <c r="G14" s="14" t="str">
        <f>'Complete List_09252026'!J28</f>
        <v>bhesdrb@gmail.com</v>
      </c>
      <c r="H14" s="14" t="str">
        <f>'Complete List_09252026'!K28</f>
        <v>Electronic</v>
      </c>
      <c r="I14" s="14" t="str">
        <f>'Complete List_09252026'!L28</f>
        <v>Bernal Heights</v>
      </c>
    </row>
    <row r="15" spans="1:11" s="14" customFormat="1" ht="26.45" customHeight="1" x14ac:dyDescent="0.25">
      <c r="A15" s="14" t="s">
        <v>190</v>
      </c>
      <c r="B15" s="14" t="str">
        <f>'Complete List_09252026'!C30</f>
        <v>Sulaiman Hyatt</v>
      </c>
      <c r="C15" s="14" t="str">
        <f>'Complete List_09252026'!E30</f>
        <v>1591 Treat Avenue</v>
      </c>
      <c r="D15" s="14" t="str">
        <f>'Complete List_09252026'!F30</f>
        <v>San Francisco</v>
      </c>
      <c r="E15" s="14" t="str">
        <f>'Complete List_09252026'!G30</f>
        <v>CA</v>
      </c>
      <c r="F15" s="14">
        <f>'Complete List_09252026'!H30</f>
        <v>94110</v>
      </c>
      <c r="G15" s="14" t="str">
        <f>'Complete List_09252026'!J30</f>
        <v>shyatt@bhnc.org</v>
      </c>
      <c r="H15" s="14" t="str">
        <f>'Complete List_09252026'!K30</f>
        <v>Electronic</v>
      </c>
      <c r="I15" s="14" t="str">
        <f>'Complete List_09252026'!L30</f>
        <v>Bernal Heights</v>
      </c>
    </row>
    <row r="16" spans="1:11" s="14" customFormat="1" ht="26.45" customHeight="1" x14ac:dyDescent="0.25">
      <c r="A16" s="14" t="s">
        <v>202</v>
      </c>
      <c r="B16" s="14" t="str">
        <f>'Complete List_09252026'!C32</f>
        <v>Kathy Angus</v>
      </c>
      <c r="C16" s="14" t="str">
        <f>'Complete List_09252026'!E32</f>
        <v>99 Banks Street</v>
      </c>
      <c r="D16" s="14" t="str">
        <f>'Complete List_09252026'!F32</f>
        <v>San Francisco</v>
      </c>
      <c r="E16" s="14" t="str">
        <f>'Complete List_09252026'!G32</f>
        <v>CA</v>
      </c>
      <c r="F16" s="14" t="str">
        <f>'Complete List_09252026'!H32</f>
        <v>94110</v>
      </c>
      <c r="G16" s="14" t="str">
        <f>'Complete List_09252026'!J32</f>
        <v>kathyangus@gmail.com</v>
      </c>
      <c r="H16" s="14" t="str">
        <f>'Complete List_09252026'!K32</f>
        <v>Electronic</v>
      </c>
      <c r="I16" s="14" t="str">
        <f>'Complete List_09252026'!L32</f>
        <v>Bernal Heights</v>
      </c>
    </row>
    <row r="17" spans="1:9" s="14" customFormat="1" ht="39.75" customHeight="1" x14ac:dyDescent="0.25">
      <c r="A17" s="14" t="s">
        <v>1091</v>
      </c>
      <c r="B17" s="14" t="str">
        <f>'Complete List_09252026'!C186</f>
        <v>Annika Hom</v>
      </c>
      <c r="C17" s="14" t="str">
        <f>'Complete List_09252026'!E186</f>
        <v>2489 Mission Street #14</v>
      </c>
      <c r="D17" s="14" t="str">
        <f>'Complete List_09252026'!F186</f>
        <v xml:space="preserve">San Francisco </v>
      </c>
      <c r="E17" s="14" t="str">
        <f>'Complete List_09252026'!G186</f>
        <v>CA</v>
      </c>
      <c r="F17" s="14">
        <f>'Complete List_09252026'!H186</f>
        <v>94110</v>
      </c>
      <c r="G17" s="14" t="str">
        <f>'Complete List_09252026'!J186</f>
        <v xml:space="preserve">joe.rivanobarros@missionlocal.com </v>
      </c>
      <c r="H17" s="14" t="str">
        <f>'Complete List_09252026'!K186</f>
        <v>Electronic</v>
      </c>
      <c r="I17" s="14" t="str">
        <f>'Complete List_09252026'!L186</f>
        <v>Bernal Heights, Mission</v>
      </c>
    </row>
    <row r="18" spans="1:9" s="14" customFormat="1" ht="39.6" customHeight="1" x14ac:dyDescent="0.25">
      <c r="A18" s="14" t="s">
        <v>1220</v>
      </c>
      <c r="B18" s="14" t="str">
        <f>'Complete List_09252026'!C211</f>
        <v xml:space="preserve"> </v>
      </c>
      <c r="C18" s="14" t="str">
        <f>'Complete List_09252026'!E211</f>
        <v>32 Aztec Street</v>
      </c>
      <c r="D18" s="14" t="str">
        <f>'Complete List_09252026'!F211</f>
        <v>San Francisco</v>
      </c>
      <c r="E18" s="14" t="str">
        <f>'Complete List_09252026'!G211</f>
        <v>CA</v>
      </c>
      <c r="F18" s="14" t="str">
        <f>'Complete List_09252026'!H211</f>
        <v>94110</v>
      </c>
      <c r="G18" s="14" t="str">
        <f>'Complete List_09252026'!J211</f>
        <v>nwbhdrb@gmail.com</v>
      </c>
      <c r="H18" s="14" t="str">
        <f>'Complete List_09252026'!K211</f>
        <v>Electronic</v>
      </c>
      <c r="I18" s="14" t="str">
        <f>'Complete List_09252026'!L211</f>
        <v>Bernal Heights</v>
      </c>
    </row>
    <row r="19" spans="1:9" ht="79.150000000000006" customHeight="1" x14ac:dyDescent="0.25">
      <c r="A19" s="11" t="s">
        <v>265</v>
      </c>
      <c r="B19" s="11" t="s">
        <v>264</v>
      </c>
      <c r="C19" s="11" t="s">
        <v>266</v>
      </c>
      <c r="D19" s="11" t="s">
        <v>16</v>
      </c>
      <c r="E19" s="11" t="s">
        <v>17</v>
      </c>
      <c r="F19" s="14">
        <v>94134</v>
      </c>
      <c r="G19" s="11" t="s">
        <v>268</v>
      </c>
      <c r="H19" s="11" t="s">
        <v>63</v>
      </c>
      <c r="I19" s="11" t="s">
        <v>269</v>
      </c>
    </row>
    <row r="20" spans="1:9" ht="46.5" customHeight="1" x14ac:dyDescent="0.25">
      <c r="A20" s="5" t="str">
        <f>'Complete List_09252026'!D53</f>
        <v>Castro LGBTQ Cultural District</v>
      </c>
      <c r="B20" s="5" t="str">
        <f>'Complete List_09252026'!C53</f>
        <v>Jesse Sanford &amp; Stephen Torres</v>
      </c>
      <c r="C20" s="5" t="str">
        <f>'Complete List_09252026'!E53</f>
        <v>1800 Market Street</v>
      </c>
      <c r="D20" s="5" t="str">
        <f>'Complete List_09252026'!F53</f>
        <v>San Francisco</v>
      </c>
      <c r="E20" s="5" t="str">
        <f>'Complete List_09252026'!G53</f>
        <v>CA</v>
      </c>
      <c r="F20" s="5">
        <f>'Complete List_09252026'!H53</f>
        <v>94102</v>
      </c>
      <c r="G20" s="5" t="str">
        <f>'Complete List_09252026'!J53</f>
        <v>landuse@castrolgbtq.org</v>
      </c>
      <c r="H20" s="5" t="str">
        <f>'Complete List_09252026'!K53</f>
        <v>Electronic</v>
      </c>
      <c r="I20" s="5" t="str">
        <f>'Complete List_09252026'!L53</f>
        <v>Bernal Heights, Castro/Upper Market, Downtown/Civic Center, Mission, Noe Valley, South of Market</v>
      </c>
    </row>
    <row r="21" spans="1:9" x14ac:dyDescent="0.25">
      <c r="A21" s="5" t="str">
        <f>'Complete List_09252026'!D257</f>
        <v>SFCOV</v>
      </c>
      <c r="B21" s="33" t="str">
        <f>'Complete List_09252026'!C257</f>
        <v>Chris Lee</v>
      </c>
      <c r="C21" s="5" t="str">
        <f>'Complete List_09252026'!E257</f>
        <v>P.O. Box 883392</v>
      </c>
      <c r="D21" s="5" t="str">
        <f>'Complete List_09252026'!F257</f>
        <v>San Francisco</v>
      </c>
      <c r="E21" s="5" t="str">
        <f>'Complete List_09252026'!G257</f>
        <v>CA</v>
      </c>
      <c r="F21" s="5">
        <f>'Complete List_09252026'!H257</f>
        <v>94188</v>
      </c>
      <c r="G21" s="5" t="str">
        <f>'Complete List_09252026'!J257</f>
        <v>neighbor@sfcov.org</v>
      </c>
      <c r="H21" s="5" t="str">
        <f>'Complete List_09252026'!K257</f>
        <v>Electronic</v>
      </c>
      <c r="I21" s="5" t="str">
        <f>'Complete List_09252026'!L257</f>
        <v>Bernal Heights, Mission, Potrero Hill</v>
      </c>
    </row>
    <row r="22" spans="1:9" ht="69" customHeight="1" x14ac:dyDescent="0.25">
      <c r="A22" s="5" t="str">
        <f>'Complete List_09252026'!D154</f>
        <v>Liberation Alliance for Economic and Social Change</v>
      </c>
      <c r="B22" s="5" t="str">
        <f>'Complete List_09252026'!C154</f>
        <v>Keith Pavlik</v>
      </c>
      <c r="C22" s="5" t="str">
        <f>'Complete List_09252026'!E154</f>
        <v>2969 Mission Street</v>
      </c>
      <c r="D22" s="5" t="str">
        <f>'Complete List_09252026'!F154</f>
        <v>San Francisco</v>
      </c>
      <c r="E22" s="5" t="str">
        <f>'Complete List_09252026'!G154</f>
        <v>CA</v>
      </c>
      <c r="F22" s="5">
        <f>'Complete List_09252026'!H154</f>
        <v>94110</v>
      </c>
      <c r="G22" s="5" t="str">
        <f>'Complete List_09252026'!J154</f>
        <v>info@liberationalliance.org</v>
      </c>
      <c r="H22" s="5" t="str">
        <f>'Complete List_09252026'!K154</f>
        <v>Electronic</v>
      </c>
      <c r="I22" s="5" t="str">
        <f>'Complete List_09252026'!L154</f>
        <v>Bayview, Bernal Heights, Castro/Upper Market, Chinatown, Downtown/Civic Center, Excelsior, Mission, Nob Hill, Noe Valley, Outer Mission, Potrero Hill, South of Market, Western Addition</v>
      </c>
    </row>
  </sheetData>
  <autoFilter ref="A1:I1" xr:uid="{00000000-0009-0000-0000-000003000000}">
    <sortState xmlns:xlrd2="http://schemas.microsoft.com/office/spreadsheetml/2017/richdata2" ref="A2:I15">
      <sortCondition descending="1" ref="H1"/>
    </sortState>
  </autoFilter>
  <mergeCells count="3">
    <mergeCell ref="A10:I10"/>
    <mergeCell ref="A12:I12"/>
    <mergeCell ref="A2:I2"/>
  </mergeCells>
  <pageMargins left="0.7" right="0.7" top="0.75" bottom="0.75" header="0.3" footer="0.3"/>
  <pageSetup scale="52"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J30"/>
  <sheetViews>
    <sheetView topLeftCell="A7" zoomScale="80" zoomScaleNormal="80" workbookViewId="0">
      <selection activeCell="A31" sqref="A31"/>
    </sheetView>
  </sheetViews>
  <sheetFormatPr defaultColWidth="8.85546875" defaultRowHeight="12.75" x14ac:dyDescent="0.25"/>
  <cols>
    <col min="1" max="1" width="20.7109375" style="5" customWidth="1"/>
    <col min="2" max="2" width="24.7109375" style="5" customWidth="1"/>
    <col min="3" max="3" width="33.140625" style="5" customWidth="1"/>
    <col min="4" max="4" width="14.85546875" style="5" customWidth="1"/>
    <col min="5" max="5" width="9.7109375" style="5" customWidth="1"/>
    <col min="6" max="6" width="10" style="8" customWidth="1"/>
    <col min="7" max="7" width="27.28515625" style="5" customWidth="1"/>
    <col min="8" max="8" width="35.28515625" style="5" customWidth="1"/>
    <col min="9" max="9" width="36.42578125" style="5" customWidth="1"/>
    <col min="10" max="10" width="8.85546875" style="5" customWidth="1"/>
    <col min="11" max="16384" width="8.85546875" style="5"/>
  </cols>
  <sheetData>
    <row r="1" spans="1:10" s="4" customFormat="1" ht="18" customHeight="1" x14ac:dyDescent="0.25">
      <c r="A1" s="4" t="s">
        <v>3</v>
      </c>
      <c r="B1" s="4" t="str">
        <f>'Complete List_09252026'!C1</f>
        <v>NAME</v>
      </c>
      <c r="C1" s="4" t="str">
        <f>'Complete List_09252026'!E1</f>
        <v>ADDRESS</v>
      </c>
      <c r="D1" s="4" t="str">
        <f>'Complete List_09252026'!F1</f>
        <v>CITY</v>
      </c>
      <c r="E1" s="4" t="str">
        <f>'Complete List_09252026'!G1</f>
        <v>STATE</v>
      </c>
      <c r="F1" s="10" t="str">
        <f>'Complete List_09252026'!H1</f>
        <v>ZIP</v>
      </c>
      <c r="G1" s="4" t="str">
        <f>'Complete List_09252026'!J1</f>
        <v>EMAIL</v>
      </c>
      <c r="H1" s="4" t="s">
        <v>10</v>
      </c>
      <c r="I1" s="4" t="str">
        <f>'Complete List_09252026'!L1</f>
        <v>NEIGHBORHOOD OF INTEREST</v>
      </c>
    </row>
    <row r="2" spans="1:10" s="26" customFormat="1" ht="18" customHeight="1" x14ac:dyDescent="0.25">
      <c r="A2" s="71" t="s">
        <v>1835</v>
      </c>
      <c r="B2" s="69"/>
      <c r="C2" s="69"/>
      <c r="D2" s="69"/>
      <c r="E2" s="69"/>
      <c r="F2" s="69"/>
      <c r="G2" s="69"/>
      <c r="H2" s="69"/>
      <c r="I2" s="69"/>
      <c r="J2" s="28"/>
    </row>
    <row r="3" spans="1:10" s="14" customFormat="1" ht="26.45" customHeight="1" x14ac:dyDescent="0.25">
      <c r="A3" s="14" t="s">
        <v>310</v>
      </c>
      <c r="B3" s="14" t="str">
        <f>'Complete List_09252026'!C52</f>
        <v>Joe Curtin</v>
      </c>
      <c r="C3" s="14" t="str">
        <f>'Complete List_09252026'!E52</f>
        <v>584 Castro Street, Suite 169</v>
      </c>
      <c r="D3" s="14" t="str">
        <f>'Complete List_09252026'!F52</f>
        <v>San Francisco</v>
      </c>
      <c r="E3" s="14" t="str">
        <f>'Complete List_09252026'!G52</f>
        <v>CA</v>
      </c>
      <c r="F3" s="14" t="str">
        <f>'Complete List_09252026'!H52</f>
        <v>94114</v>
      </c>
      <c r="G3" s="14">
        <f>'Complete List_09252026'!J52</f>
        <v>0</v>
      </c>
      <c r="H3" s="14" t="str">
        <f>'Complete List_09252026'!K52</f>
        <v>Physical</v>
      </c>
      <c r="I3" s="14" t="str">
        <f>'Complete List_09252026'!L52</f>
        <v>Castro/Upper Market</v>
      </c>
    </row>
    <row r="4" spans="1:10" s="14" customFormat="1" ht="39.6" customHeight="1" x14ac:dyDescent="0.25">
      <c r="A4" s="14" t="s">
        <v>561</v>
      </c>
      <c r="B4" s="14" t="str">
        <f>'Complete List_09252026'!C93</f>
        <v>Priscilla Botsford</v>
      </c>
      <c r="C4" s="14" t="str">
        <f>'Complete List_09252026'!E93</f>
        <v>382 Eureka Street</v>
      </c>
      <c r="D4" s="14" t="str">
        <f>'Complete List_09252026'!F93</f>
        <v>San Francisco</v>
      </c>
      <c r="E4" s="14" t="str">
        <f>'Complete List_09252026'!G93</f>
        <v>CA</v>
      </c>
      <c r="F4" s="14" t="str">
        <f>'Complete List_09252026'!H93</f>
        <v>94114</v>
      </c>
      <c r="G4" s="14" t="str">
        <f>'Complete List_09252026'!J93</f>
        <v>prbotsford@yahoo.com</v>
      </c>
      <c r="H4" s="14" t="str">
        <f>'Complete List_09252026'!K93</f>
        <v>Physical</v>
      </c>
      <c r="I4" s="14" t="str">
        <f>'Complete List_09252026'!L93</f>
        <v>Castro/Upper Market</v>
      </c>
    </row>
    <row r="5" spans="1:10" s="14" customFormat="1" ht="52.9" customHeight="1" x14ac:dyDescent="0.25">
      <c r="A5" s="14" t="s">
        <v>783</v>
      </c>
      <c r="B5" s="14" t="str">
        <f>'Complete List_09252026'!C131</f>
        <v>Antonio Flores</v>
      </c>
      <c r="C5" s="14" t="str">
        <f>'Complete List_09252026'!E131</f>
        <v>545 Post Street</v>
      </c>
      <c r="D5" s="14" t="str">
        <f>'Complete List_09252026'!F131</f>
        <v>San Francisco</v>
      </c>
      <c r="E5" s="14" t="str">
        <f>'Complete List_09252026'!G131</f>
        <v>CA</v>
      </c>
      <c r="F5" s="14">
        <f>'Complete List_09252026'!H131</f>
        <v>94102</v>
      </c>
      <c r="G5" s="14" t="str">
        <f>'Complete List_09252026'!J131</f>
        <v>antonio.flores@viceroyhotelgroup.com</v>
      </c>
      <c r="H5" s="14" t="str">
        <f>'Complete List_09252026'!K131</f>
        <v>Physical</v>
      </c>
      <c r="I5" s="14" t="str">
        <f>'Complete List_09252026'!L131</f>
        <v>Castro/Upper Market, Chinatown, Downtown/Civic Center, Financial District, Nob Hill, North Beach, South of Market, Treasure Island</v>
      </c>
    </row>
    <row r="6" spans="1:10" s="14" customFormat="1" ht="39.6" customHeight="1" x14ac:dyDescent="0.25">
      <c r="A6" s="14" t="s">
        <v>1005</v>
      </c>
      <c r="B6" s="14" t="str">
        <f>'Complete List_09252026'!C170</f>
        <v>Ted Olsson</v>
      </c>
      <c r="C6" s="14" t="str">
        <f>'Complete List_09252026'!E170</f>
        <v>30 Sharon Street</v>
      </c>
      <c r="D6" s="14" t="str">
        <f>'Complete List_09252026'!F170</f>
        <v>San Francisco</v>
      </c>
      <c r="E6" s="14" t="str">
        <f>'Complete List_09252026'!G170</f>
        <v>CA</v>
      </c>
      <c r="F6" s="14" t="str">
        <f>'Complete List_09252026'!H170</f>
        <v>94114-1709</v>
      </c>
      <c r="G6" s="14" t="str">
        <f>'Complete List_09252026'!J170</f>
        <v>olssonted@yahoo.com</v>
      </c>
      <c r="H6" s="14" t="str">
        <f>'Complete List_09252026'!K170</f>
        <v>Physical</v>
      </c>
      <c r="I6" s="14" t="str">
        <f>'Complete List_09252026'!L170</f>
        <v>Castro/Upper Market, Downtown/Civic Center, Mission</v>
      </c>
    </row>
    <row r="7" spans="1:10" s="14" customFormat="1" ht="26.45" customHeight="1" x14ac:dyDescent="0.25">
      <c r="A7" s="14" t="s">
        <v>1755</v>
      </c>
      <c r="B7" s="14" t="str">
        <f>'Complete List_09252026'!C304</f>
        <v>Sean  Quigley</v>
      </c>
      <c r="C7" s="14" t="str">
        <f>'Complete List_09252026'!E304</f>
        <v>766 Valencia Street, 3rd Floor</v>
      </c>
      <c r="D7" s="14" t="str">
        <f>'Complete List_09252026'!F304</f>
        <v>San Francisco</v>
      </c>
      <c r="E7" s="14" t="str">
        <f>'Complete List_09252026'!G304</f>
        <v>CA</v>
      </c>
      <c r="F7" s="14">
        <f>'Complete List_09252026'!H304</f>
        <v>94110</v>
      </c>
      <c r="G7" s="14" t="str">
        <f>'Complete List_09252026'!J304</f>
        <v>seanq@paxtongate.com</v>
      </c>
      <c r="H7" s="14" t="str">
        <f>'Complete List_09252026'!K304</f>
        <v>Physical</v>
      </c>
      <c r="I7" s="14" t="str">
        <f>'Complete List_09252026'!L304</f>
        <v>Castro/Upper Market, Mission, Potrero Hill</v>
      </c>
    </row>
    <row r="8" spans="1:10" s="14" customFormat="1" ht="26.45" customHeight="1" x14ac:dyDescent="0.25">
      <c r="A8" s="14" t="s">
        <v>573</v>
      </c>
      <c r="B8" s="14" t="str">
        <f>'Complete List_09252026'!C95</f>
        <v>Bruce Murphy</v>
      </c>
      <c r="C8" s="14" t="str">
        <f>'Complete List_09252026'!E95</f>
        <v>1281 Quesada Ave</v>
      </c>
      <c r="D8" s="14" t="str">
        <f>'Complete List_09252026'!F95</f>
        <v>San Francisco</v>
      </c>
      <c r="E8" s="14" t="str">
        <f>'Complete List_09252026'!G95</f>
        <v>CA</v>
      </c>
      <c r="F8" s="14" t="str">
        <f>'Complete List_09252026'!H95</f>
        <v>94124-3334</v>
      </c>
      <c r="G8" s="14" t="str">
        <f>'Complete List_09252026'!J95</f>
        <v>luckylaowai.sf@gmail.com</v>
      </c>
      <c r="H8" s="14" t="str">
        <f>'Complete List_09252026'!K95</f>
        <v>Physical</v>
      </c>
      <c r="I8" s="14" t="str">
        <f>'Complete List_09252026'!L95</f>
        <v>Bayview, Castro/Upper Market</v>
      </c>
    </row>
    <row r="9" spans="1:10" s="14" customFormat="1" ht="26.45" customHeight="1" x14ac:dyDescent="0.25">
      <c r="A9" s="14" t="s">
        <v>581</v>
      </c>
      <c r="B9" s="14" t="str">
        <f>'Complete List_09252026'!C96</f>
        <v>Jack Keating</v>
      </c>
      <c r="C9" s="14" t="str">
        <f>'Complete List_09252026'!E96</f>
        <v>4134 17th Street</v>
      </c>
      <c r="D9" s="14" t="str">
        <f>'Complete List_09252026'!F96</f>
        <v>San Francisco</v>
      </c>
      <c r="E9" s="14" t="str">
        <f>'Complete List_09252026'!G96</f>
        <v>CA</v>
      </c>
      <c r="F9" s="14">
        <f>'Complete List_09252026'!H96</f>
        <v>94114</v>
      </c>
      <c r="G9" s="14" t="str">
        <f>'Complete List_09252026'!J96</f>
        <v>jteamj@comcast.net</v>
      </c>
      <c r="H9" s="14" t="str">
        <f>'Complete List_09252026'!K96</f>
        <v>Physical</v>
      </c>
      <c r="I9" s="14" t="str">
        <f>'Complete List_09252026'!L96</f>
        <v>Castro/Upper Market</v>
      </c>
    </row>
    <row r="10" spans="1:10" s="26" customFormat="1" ht="18" customHeight="1" x14ac:dyDescent="0.25">
      <c r="A10" s="68" t="s">
        <v>1836</v>
      </c>
      <c r="B10" s="69"/>
      <c r="C10" s="69"/>
      <c r="D10" s="69"/>
      <c r="E10" s="69"/>
      <c r="F10" s="69"/>
      <c r="G10" s="69"/>
      <c r="H10" s="69"/>
      <c r="I10" s="69"/>
      <c r="J10" s="28"/>
    </row>
    <row r="11" spans="1:10" s="14" customFormat="1" ht="66" customHeight="1" x14ac:dyDescent="0.25">
      <c r="A11" s="14" t="s">
        <v>214</v>
      </c>
      <c r="B11" s="14" t="str">
        <f>'Complete List_09252026'!C38</f>
        <v>Rafael Mandelman</v>
      </c>
      <c r="C11" s="14" t="str">
        <f>'Complete List_09252026'!E38</f>
        <v>1 Dr. Carlton B Goodlett Place, Room #244</v>
      </c>
      <c r="D11" s="14" t="str">
        <f>'Complete List_09252026'!F38</f>
        <v>San Francisco</v>
      </c>
      <c r="E11" s="14" t="str">
        <f>'Complete List_09252026'!G38</f>
        <v>CA</v>
      </c>
      <c r="F11" s="14" t="str">
        <f>'Complete List_09252026'!H38</f>
        <v>94102-4689</v>
      </c>
      <c r="G11" s="14" t="str">
        <f>'Complete List_09252026'!J38</f>
        <v>Rafael.Mandelman@sfgov.org;
Kyle.Smeallie@sfgov.org;
Tom.Temprano@sfgov.org;
jacob.bintliff@sfgov.org; 
mandelmanstaff@sfgov.org</v>
      </c>
      <c r="H11" s="14" t="str">
        <f>'Complete List_09252026'!K38</f>
        <v>Both</v>
      </c>
      <c r="I11" s="14" t="str">
        <f>'Complete List_09252026'!L38</f>
        <v>Castro/Upper Market, Diamond Heights, Glen Park, Noe Valley, Twin Peaks</v>
      </c>
    </row>
    <row r="12" spans="1:10" s="14" customFormat="1" ht="32.450000000000003" customHeight="1" x14ac:dyDescent="0.25">
      <c r="A12" s="14" t="str">
        <f>'Complete List_09252026'!D263</f>
        <v>SIPS Review Group</v>
      </c>
      <c r="B12" s="14" t="str">
        <f>'Complete List_09252026'!C263</f>
        <v>Patrick Mooney</v>
      </c>
      <c r="C12" s="14" t="str">
        <f>'Complete List_09252026'!E263</f>
        <v>62 Carmelita Street</v>
      </c>
      <c r="D12" s="14" t="str">
        <f>'Complete List_09252026'!F263</f>
        <v>San Francisco</v>
      </c>
      <c r="E12" s="14" t="str">
        <f>'Complete List_09252026'!G263</f>
        <v>CA</v>
      </c>
      <c r="F12" s="14">
        <f>'Complete List_09252026'!H263</f>
        <v>94117</v>
      </c>
      <c r="G12" s="14" t="str">
        <f>'Complete List_09252026'!J263</f>
        <v>pmmsfo@gmail.com</v>
      </c>
      <c r="H12" s="14" t="str">
        <f>'Complete List_09252026'!K263</f>
        <v>Both</v>
      </c>
      <c r="I12" s="14" t="str">
        <f>'Complete List_09252026'!L263</f>
        <v>Castro / Upper Market, Haight Ashbury, Western Addition</v>
      </c>
    </row>
    <row r="13" spans="1:10" s="26" customFormat="1" ht="18" customHeight="1" x14ac:dyDescent="0.25">
      <c r="A13" s="70" t="s">
        <v>1842</v>
      </c>
      <c r="B13" s="69"/>
      <c r="C13" s="69"/>
      <c r="D13" s="69"/>
      <c r="E13" s="69"/>
      <c r="F13" s="69"/>
      <c r="G13" s="69"/>
      <c r="H13" s="69"/>
      <c r="I13" s="69"/>
      <c r="J13" s="29"/>
    </row>
    <row r="14" spans="1:10" s="14" customFormat="1" x14ac:dyDescent="0.25">
      <c r="A14" s="14" t="s">
        <v>322</v>
      </c>
      <c r="B14" s="14" t="str">
        <f>'Complete List_09252026'!C54</f>
        <v>Nikolas Blanchet</v>
      </c>
      <c r="C14" s="14" t="str">
        <f>'Complete List_09252026'!E54</f>
        <v>584 Castro Street #333</v>
      </c>
      <c r="D14" s="14" t="str">
        <f>'Complete List_09252026'!F54</f>
        <v>San Francisco</v>
      </c>
      <c r="E14" s="14" t="str">
        <f>'Complete List_09252026'!G54</f>
        <v>CA</v>
      </c>
      <c r="F14" s="14" t="str">
        <f>'Complete List_09252026'!H54</f>
        <v>94114</v>
      </c>
      <c r="G14" s="14" t="str">
        <f>'Complete List_09252026'!J54</f>
        <v>info@castromerchants.com</v>
      </c>
      <c r="H14" s="14" t="str">
        <f>'Complete List_09252026'!K54</f>
        <v>Electronic</v>
      </c>
      <c r="I14" s="14" t="str">
        <f>'Complete List_09252026'!L174</f>
        <v>Castro/Upper Market</v>
      </c>
    </row>
    <row r="15" spans="1:10" s="14" customFormat="1" ht="39.6" customHeight="1" x14ac:dyDescent="0.25">
      <c r="A15" s="14" t="s">
        <v>328</v>
      </c>
      <c r="B15" s="14" t="str">
        <f>'Complete List_09252026'!C55</f>
        <v>Andrea Aiello</v>
      </c>
      <c r="C15" s="14" t="str">
        <f>'Complete List_09252026'!E55</f>
        <v>693 14th Street</v>
      </c>
      <c r="D15" s="14" t="str">
        <f>'Complete List_09252026'!F55</f>
        <v>San Francisco</v>
      </c>
      <c r="E15" s="14" t="str">
        <f>'Complete List_09252026'!G55</f>
        <v>CA</v>
      </c>
      <c r="F15" s="14" t="str">
        <f>'Complete List_09252026'!H55</f>
        <v>94114</v>
      </c>
      <c r="G15" s="14" t="str">
        <f>'Complete List_09252026'!J55</f>
        <v>ExecDirector@CastroCBD.org</v>
      </c>
      <c r="H15" s="14" t="str">
        <f>'Complete List_09252026'!K55</f>
        <v>Electronic</v>
      </c>
      <c r="I15" s="14" t="str">
        <f>'Complete List_09252026'!L55</f>
        <v>Castro/Upper Market, Haight Ashbury, Noe Valley</v>
      </c>
    </row>
    <row r="16" spans="1:10" s="14" customFormat="1" ht="26.45" customHeight="1" x14ac:dyDescent="0.25">
      <c r="A16" s="14" t="s">
        <v>518</v>
      </c>
      <c r="B16" s="14" t="str">
        <f>'Complete List_09252026'!C86</f>
        <v xml:space="preserve">Planning and Land Use Committee </v>
      </c>
      <c r="C16" s="14" t="str">
        <f>'Complete List_09252026'!E86</f>
        <v>4016 20th Street</v>
      </c>
      <c r="D16" s="14" t="str">
        <f>'Complete List_09252026'!F86</f>
        <v>San Francisco</v>
      </c>
      <c r="E16" s="14" t="str">
        <f>'Complete List_09252026'!G86</f>
        <v>CA</v>
      </c>
      <c r="F16" s="14" t="str">
        <f>'Complete List_09252026'!H86</f>
        <v>94114</v>
      </c>
      <c r="G16" s="14" t="str">
        <f>'Complete List_09252026'!J86</f>
        <v>plu@doloresheights.org</v>
      </c>
      <c r="H16" s="14" t="str">
        <f>'Complete List_09252026'!K86</f>
        <v>Electronic</v>
      </c>
      <c r="I16" s="14" t="str">
        <f>'Complete List_09252026'!L86</f>
        <v>Castro/Upper Market, Mission, Noe Valley</v>
      </c>
    </row>
    <row r="17" spans="1:9" s="14" customFormat="1" ht="39.6" customHeight="1" x14ac:dyDescent="0.25">
      <c r="A17" s="14" t="s">
        <v>523</v>
      </c>
      <c r="B17" s="14" t="str">
        <f>'Complete List_09252026'!C87</f>
        <v>Kevin Riley</v>
      </c>
      <c r="C17" s="14" t="str">
        <f>'Complete List_09252026'!E87</f>
        <v>2261 Market Street PMB #301</v>
      </c>
      <c r="D17" s="14" t="str">
        <f>'Complete List_09252026'!F87</f>
        <v>San Francisco</v>
      </c>
      <c r="E17" s="14" t="str">
        <f>'Complete List_09252026'!G87</f>
        <v>CA</v>
      </c>
      <c r="F17" s="14" t="str">
        <f>'Complete List_09252026'!H87</f>
        <v>94114</v>
      </c>
      <c r="G17" s="14" t="str">
        <f>'Complete List_09252026'!J87</f>
        <v>landuse@dtna.org</v>
      </c>
      <c r="H17" s="14" t="str">
        <f>'Complete List_09252026'!K87</f>
        <v>Electronic</v>
      </c>
      <c r="I17" s="14" t="str">
        <f>'Complete List_09252026'!L87</f>
        <v>Castro/Upper Market, Western Addition</v>
      </c>
    </row>
    <row r="18" spans="1:9" s="14" customFormat="1" ht="39.6" customHeight="1" x14ac:dyDescent="0.25">
      <c r="A18" s="14" t="s">
        <v>567</v>
      </c>
      <c r="B18" s="14" t="str">
        <f>'Complete List_09252026'!C94</f>
        <v>Jennifer Waggoner</v>
      </c>
      <c r="C18" s="14" t="str">
        <f>'Complete List_09252026'!E94</f>
        <v>P.O. Box 14137</v>
      </c>
      <c r="D18" s="14" t="str">
        <f>'Complete List_09252026'!F94</f>
        <v>San Francisco</v>
      </c>
      <c r="E18" s="14" t="str">
        <f>'Complete List_09252026'!G94</f>
        <v>CA</v>
      </c>
      <c r="F18" s="14" t="str">
        <f>'Complete List_09252026'!H94</f>
        <v>94114-2827</v>
      </c>
      <c r="G18" s="14" t="str">
        <f>'Complete List_09252026'!J94</f>
        <v>president@evna.org</v>
      </c>
      <c r="H18" s="14" t="str">
        <f>'Complete List_09252026'!K94</f>
        <v>Electronic</v>
      </c>
      <c r="I18" s="14" t="str">
        <f>'Complete List_09252026'!L94</f>
        <v>Castro/Upper Market</v>
      </c>
    </row>
    <row r="19" spans="1:9" s="14" customFormat="1" ht="39.6" customHeight="1" x14ac:dyDescent="0.25">
      <c r="A19" s="14" t="s">
        <v>756</v>
      </c>
      <c r="B19" s="14" t="str">
        <f>'Complete List_09252026'!C126</f>
        <v>Jennifer Laska</v>
      </c>
      <c r="C19" s="14" t="str">
        <f>'Complete List_09252026'!E126</f>
        <v>400 Grove Street, Suite 3</v>
      </c>
      <c r="D19" s="14" t="str">
        <f>'Complete List_09252026'!F126</f>
        <v>San Francisco</v>
      </c>
      <c r="E19" s="14" t="str">
        <f>'Complete List_09252026'!G126</f>
        <v>CA</v>
      </c>
      <c r="F19" s="14" t="str">
        <f>'Complete List_09252026'!H126</f>
        <v>94102</v>
      </c>
      <c r="G19" s="14" t="str">
        <f>'Complete List_09252026'!J126</f>
        <v>president@hayesvalleysf.org</v>
      </c>
      <c r="H19" s="14" t="str">
        <f>'Complete List_09252026'!K126</f>
        <v>Electronic</v>
      </c>
      <c r="I19" s="14" t="str">
        <f>'Complete List_09252026'!L126</f>
        <v>Castro/Upper Market, Downtown/Civic Center, Mission, South of Market, Western Addition</v>
      </c>
    </row>
    <row r="20" spans="1:9" s="14" customFormat="1" ht="39.6" customHeight="1" x14ac:dyDescent="0.25">
      <c r="A20" s="14" t="s">
        <v>767</v>
      </c>
      <c r="B20" s="14" t="str">
        <f>'Complete List_09252026'!C128</f>
        <v>Richard Johnson</v>
      </c>
      <c r="C20" s="14" t="str">
        <f>'Complete List_09252026'!E128</f>
        <v>415 Buchanan St Apt C</v>
      </c>
      <c r="D20" s="14" t="str">
        <f>'Complete List_09252026'!F128</f>
        <v>San Francisco</v>
      </c>
      <c r="E20" s="14" t="str">
        <f>'Complete List_09252026'!G128</f>
        <v>CA</v>
      </c>
      <c r="F20" s="14">
        <f>'Complete List_09252026'!H128</f>
        <v>94102</v>
      </c>
      <c r="G20" s="14" t="str">
        <f>'Complete List_09252026'!J128</f>
        <v>info@hvsafe.com</v>
      </c>
      <c r="H20" s="14" t="str">
        <f>'Complete List_09252026'!K128</f>
        <v>Electronic</v>
      </c>
      <c r="I20" s="14" t="str">
        <f>'Complete List_09252026'!L128</f>
        <v>Castro/Upper Market, Downtown/Civic Center, Mission, South of Market, Western Addition</v>
      </c>
    </row>
    <row r="21" spans="1:9" s="14" customFormat="1" ht="39.6" customHeight="1" x14ac:dyDescent="0.25">
      <c r="A21" s="14" t="s">
        <v>762</v>
      </c>
      <c r="B21" s="14" t="str">
        <f>'Complete List_09252026'!C127</f>
        <v>Ramiz Y</v>
      </c>
      <c r="C21" s="14" t="str">
        <f>'Complete List_09252026'!E127</f>
        <v>559 Hayes Street</v>
      </c>
      <c r="D21" s="14" t="str">
        <f>'Complete List_09252026'!F127</f>
        <v>San Francisco</v>
      </c>
      <c r="E21" s="14" t="str">
        <f>'Complete List_09252026'!G127</f>
        <v>CA</v>
      </c>
      <c r="F21" s="14">
        <f>'Complete List_09252026'!H127</f>
        <v>94102</v>
      </c>
      <c r="G21" s="14" t="str">
        <f>'Complete List_09252026'!J127</f>
        <v>info@hvsba.org</v>
      </c>
      <c r="H21" s="14" t="str">
        <f>'Complete List_09252026'!K127</f>
        <v>Electronic</v>
      </c>
      <c r="I21" s="14" t="str">
        <f>'Complete List_09252026'!L127</f>
        <v>Castro/Upper Market, Downtown/Civic Center, Mission, South of Market, Western Addition</v>
      </c>
    </row>
    <row r="22" spans="1:9" s="14" customFormat="1" ht="39.6" customHeight="1" x14ac:dyDescent="0.25">
      <c r="A22" s="14" t="s">
        <v>1079</v>
      </c>
      <c r="B22" s="14" t="str">
        <f>'Complete List_09252026'!C184</f>
        <v>Peter Lewis</v>
      </c>
      <c r="C22" s="14" t="str">
        <f>'Complete List_09252026'!E184</f>
        <v>72 Landers Street</v>
      </c>
      <c r="D22" s="14" t="str">
        <f>'Complete List_09252026'!F184</f>
        <v>San Francisco</v>
      </c>
      <c r="E22" s="14" t="str">
        <f>'Complete List_09252026'!G184</f>
        <v>CA</v>
      </c>
      <c r="F22" s="14">
        <f>'Complete List_09252026'!H184</f>
        <v>94110</v>
      </c>
      <c r="G22" s="14" t="str">
        <f>'Complete List_09252026'!J184</f>
        <v>missiondna@earthlink.net</v>
      </c>
      <c r="H22" s="14" t="str">
        <f>'Complete List_09252026'!K184</f>
        <v>Electronic</v>
      </c>
      <c r="I22" s="14" t="str">
        <f>'Complete List_09252026'!L184</f>
        <v>Castro/Upper Market, Mission</v>
      </c>
    </row>
    <row r="23" spans="1:9" s="14" customFormat="1" ht="42.75" customHeight="1" x14ac:dyDescent="0.25">
      <c r="A23" s="14" t="s">
        <v>1122</v>
      </c>
      <c r="B23" s="14" t="str">
        <f>'Complete List_09252026'!C192</f>
        <v>Dan Slaughter</v>
      </c>
      <c r="C23" s="14" t="str">
        <f>'Complete List_09252026'!E192</f>
        <v>379 Upper Terrace</v>
      </c>
      <c r="D23" s="14" t="str">
        <f>'Complete List_09252026'!F192</f>
        <v>San Francisco</v>
      </c>
      <c r="E23" s="14" t="str">
        <f>'Complete List_09252026'!G192</f>
        <v>CA</v>
      </c>
      <c r="F23" s="14" t="str">
        <f>'Complete List_09252026'!H192</f>
        <v>94117</v>
      </c>
      <c r="G23" s="14" t="str">
        <f>'Complete List_09252026'!J192</f>
        <v>dkslaughter@gmail.com</v>
      </c>
      <c r="H23" s="14" t="str">
        <f>'Complete List_09252026'!K192</f>
        <v>Electronic</v>
      </c>
      <c r="I23" s="14" t="str">
        <f>'Complete List_09252026'!L192</f>
        <v xml:space="preserve">Castro/Upper Market, Haight Ashbury </v>
      </c>
    </row>
    <row r="24" spans="1:9" s="14" customFormat="1" ht="45" customHeight="1" x14ac:dyDescent="0.25">
      <c r="A24" s="14" t="s">
        <v>1477</v>
      </c>
      <c r="B24" s="14" t="str">
        <f>'Complete List_09252026'!C255</f>
        <v>Gary Weiss</v>
      </c>
      <c r="C24" s="14" t="str">
        <f>'Complete List_09252026'!E255</f>
        <v>78 Mars Street</v>
      </c>
      <c r="D24" s="14" t="str">
        <f>'Complete List_09252026'!F255</f>
        <v>San Francisco</v>
      </c>
      <c r="E24" s="14" t="str">
        <f>'Complete List_09252026'!G255</f>
        <v>CA</v>
      </c>
      <c r="F24" s="14">
        <f>'Complete List_09252026'!H255</f>
        <v>94114</v>
      </c>
      <c r="G24" s="14" t="str">
        <f>'Complete List_09252026'!J255</f>
        <v>garysfx@gmail.com</v>
      </c>
      <c r="H24" s="14" t="str">
        <f>'Complete List_09252026'!K255</f>
        <v>Electronic</v>
      </c>
      <c r="I24" s="14" t="str">
        <f>'Complete List_09252026'!L255</f>
        <v>Castro/Upper Market, Diamond Heights, Glen Park, Haight Ashbury, Mission, Noe Valley, South of Market, Twin Peaks, Upper Market, Western Addition</v>
      </c>
    </row>
    <row r="25" spans="1:9" s="14" customFormat="1" ht="39.6" customHeight="1" x14ac:dyDescent="0.25">
      <c r="A25" s="14" t="s">
        <v>1500</v>
      </c>
      <c r="B25" s="14" t="str">
        <f>'Complete List_09252026'!C259</f>
        <v>Bill Tannenbaum</v>
      </c>
      <c r="C25" s="14" t="str">
        <f>'Complete List_09252026'!E259</f>
        <v>46 Sharon Street</v>
      </c>
      <c r="D25" s="14" t="str">
        <f>'Complete List_09252026'!F259</f>
        <v>San Francisco</v>
      </c>
      <c r="E25" s="14" t="str">
        <f>'Complete List_09252026'!G259</f>
        <v>CA</v>
      </c>
      <c r="F25" s="14" t="str">
        <f>'Complete List_09252026'!H259</f>
        <v>94114</v>
      </c>
      <c r="G25" s="14" t="str">
        <f>'Complete List_09252026'!J259</f>
        <v>Btannenbaum@arws.com</v>
      </c>
      <c r="H25" s="14" t="str">
        <f>'Complete List_09252026'!K259</f>
        <v>Electronic</v>
      </c>
      <c r="I25" s="14" t="str">
        <f>'Complete List_09252026'!L259</f>
        <v>Castro/Upper Market</v>
      </c>
    </row>
    <row r="26" spans="1:9" s="14" customFormat="1" ht="39.6" customHeight="1" x14ac:dyDescent="0.25">
      <c r="A26" s="14" t="str">
        <f>'Complete List_09252026'!D53</f>
        <v>Castro LGBTQ Cultural District</v>
      </c>
      <c r="B26" s="14" t="str">
        <f>'Complete List_09252026'!C53</f>
        <v>Jesse Sanford &amp; Stephen Torres</v>
      </c>
      <c r="C26" s="14" t="str">
        <f>'Complete List_09252026'!E53</f>
        <v>1800 Market Street</v>
      </c>
      <c r="D26" s="14" t="str">
        <f>'Complete List_09252026'!F53</f>
        <v>San Francisco</v>
      </c>
      <c r="E26" s="14" t="str">
        <f>'Complete List_09252026'!G53</f>
        <v>CA</v>
      </c>
      <c r="F26" s="14">
        <f>'Complete List_09252026'!H53</f>
        <v>94102</v>
      </c>
      <c r="G26" s="14" t="str">
        <f>'Complete List_09252026'!J53</f>
        <v>landuse@castrolgbtq.org</v>
      </c>
      <c r="H26" s="14" t="str">
        <f>'Complete List_09252026'!K53</f>
        <v>Electronic</v>
      </c>
      <c r="I26" s="14" t="str">
        <f>'Complete List_09252026'!L53</f>
        <v>Bernal Heights, Castro/Upper Market, Downtown/Civic Center, Mission, Noe Valley, South of Market</v>
      </c>
    </row>
    <row r="27" spans="1:9" s="14" customFormat="1" ht="52.9" customHeight="1" x14ac:dyDescent="0.25">
      <c r="A27" s="14" t="str">
        <f>'Complete List_09252026'!D177</f>
        <v>Mid-Market Neighbors</v>
      </c>
      <c r="B27" s="14" t="str">
        <f>'Complete List_09252026'!C177</f>
        <v>Chuck Obermeyer</v>
      </c>
      <c r="C27" s="14" t="str">
        <f>'Complete List_09252026'!E177</f>
        <v>30 7th Street</v>
      </c>
      <c r="D27" s="14" t="str">
        <f>'Complete List_09252026'!F177</f>
        <v>San Francisco</v>
      </c>
      <c r="E27" s="14" t="str">
        <f>'Complete List_09252026'!G177</f>
        <v>CA</v>
      </c>
      <c r="F27" s="14">
        <f>'Complete List_09252026'!H177</f>
        <v>94103</v>
      </c>
      <c r="G27" s="14" t="str">
        <f>'Complete List_09252026'!J177</f>
        <v>chuck@midmarketneighbors.org</v>
      </c>
      <c r="H27" s="14" t="str">
        <f>'Complete List_09252026'!K177</f>
        <v>Electronic</v>
      </c>
      <c r="I27" s="14" t="str">
        <f>'Complete List_09252026'!L177</f>
        <v>Castro/Upper Market, Chinatown, Downtown/Civic Center, Financial District, Nob Hill, Potrero Hill, South of Market, Western Addition</v>
      </c>
    </row>
    <row r="28" spans="1:9" ht="69" customHeight="1" x14ac:dyDescent="0.25">
      <c r="A28" s="5" t="str">
        <f>'Complete List_09252026'!D154</f>
        <v>Liberation Alliance for Economic and Social Change</v>
      </c>
      <c r="B28" s="5" t="str">
        <f>'Complete List_09252026'!C154</f>
        <v>Keith Pavlik</v>
      </c>
      <c r="C28" s="5" t="str">
        <f>'Complete List_09252026'!E154</f>
        <v>2969 Mission Street</v>
      </c>
      <c r="D28" s="5" t="str">
        <f>'Complete List_09252026'!F154</f>
        <v>San Francisco</v>
      </c>
      <c r="E28" s="5" t="str">
        <f>'Complete List_09252026'!G154</f>
        <v>CA</v>
      </c>
      <c r="F28" s="5">
        <f>'Complete List_09252026'!H154</f>
        <v>94110</v>
      </c>
      <c r="G28" s="5" t="str">
        <f>'Complete List_09252026'!J154</f>
        <v>info@liberationalliance.org</v>
      </c>
      <c r="H28" s="5" t="str">
        <f>'Complete List_09252026'!K154</f>
        <v>Electronic</v>
      </c>
      <c r="I28" s="5" t="str">
        <f>'Complete List_09252026'!L154</f>
        <v>Bayview, Bernal Heights, Castro/Upper Market, Chinatown, Downtown/Civic Center, Excelsior, Mission, Nob Hill, Noe Valley, Outer Mission, Potrero Hill, South of Market, Western Addition</v>
      </c>
    </row>
    <row r="29" spans="1:9" s="14" customFormat="1" ht="26.45" customHeight="1" x14ac:dyDescent="0.25">
      <c r="A29" s="14" t="str">
        <f>'Complete List_09252026'!D73</f>
        <v>Corbett Heights Neighbors</v>
      </c>
      <c r="B29" s="14" t="str">
        <f>'Complete List_09252026'!C73</f>
        <v xml:space="preserve">Maryann Dresner </v>
      </c>
      <c r="C29" s="14" t="str">
        <f>'Complete List_09252026'!E73</f>
        <v>P.O. Box 14493</v>
      </c>
      <c r="D29" s="14" t="str">
        <f>'Complete List_09252026'!F73</f>
        <v>San Francisco</v>
      </c>
      <c r="E29" s="14" t="str">
        <f>'Complete List_09252026'!G73</f>
        <v>CA</v>
      </c>
      <c r="F29" s="14" t="str">
        <f>'Complete List_09252026'!H73</f>
        <v>94114</v>
      </c>
      <c r="G29" s="14" t="str">
        <f>'Complete List_09252026'!J73</f>
        <v>info@corbettneighbors.com</v>
      </c>
      <c r="H29" s="14" t="str">
        <f>'Complete List_09252026'!K73</f>
        <v>Electronic</v>
      </c>
      <c r="I29" s="14" t="str">
        <f>'Complete List_09252026'!L73</f>
        <v>Castro/Upper Market, Noe Valley, West of Twin Peaks</v>
      </c>
    </row>
    <row r="30" spans="1:9" ht="39.6" customHeight="1" x14ac:dyDescent="0.25">
      <c r="A30" s="5" t="str">
        <f>'Complete List_09252026'!D47</f>
        <v>Buena Vista Neighborhood Association</v>
      </c>
      <c r="B30" s="5" t="str">
        <f>'Complete List_09252026'!C47</f>
        <v>Rasheq Zarif</v>
      </c>
      <c r="C30" s="5" t="str">
        <f>'Complete List_09252026'!E47</f>
        <v>1388 Haight Street #1236</v>
      </c>
      <c r="D30" s="5" t="str">
        <f>'Complete List_09252026'!F47</f>
        <v>San Francisco</v>
      </c>
      <c r="E30" s="5" t="str">
        <f>'Complete List_09252026'!G47</f>
        <v>CA</v>
      </c>
      <c r="F30" s="5">
        <f>'Complete List_09252026'!H47</f>
        <v>94117</v>
      </c>
      <c r="G30" s="5" t="str">
        <f>'Complete List_09252026'!J47</f>
        <v>info@bvnasf.org</v>
      </c>
      <c r="H30" s="5" t="str">
        <f>'Complete List_09252026'!K47</f>
        <v>Electronic</v>
      </c>
      <c r="I30" s="5" t="str">
        <f>'Complete List_09252026'!L47</f>
        <v>Castro/Upper Market</v>
      </c>
    </row>
  </sheetData>
  <autoFilter ref="A1:I1" xr:uid="{00000000-0009-0000-0000-000004000000}">
    <sortState xmlns:xlrd2="http://schemas.microsoft.com/office/spreadsheetml/2017/richdata2" ref="A2:I25">
      <sortCondition ref="H1"/>
    </sortState>
  </autoFilter>
  <mergeCells count="3">
    <mergeCell ref="A10:I10"/>
    <mergeCell ref="A13:I13"/>
    <mergeCell ref="A2:I2"/>
  </mergeCells>
  <pageMargins left="0.7" right="0.7" top="0.75" bottom="0.75" header="0.3" footer="0.3"/>
  <pageSetup scale="53" orientation="landscape" horizontalDpi="4294967292" verticalDpi="429496729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22"/>
  <sheetViews>
    <sheetView zoomScale="75" zoomScaleNormal="75" zoomScalePageLayoutView="75" workbookViewId="0">
      <selection activeCell="A12" sqref="A12:I12"/>
    </sheetView>
  </sheetViews>
  <sheetFormatPr defaultColWidth="8.85546875" defaultRowHeight="12.75" x14ac:dyDescent="0.25"/>
  <cols>
    <col min="1" max="1" width="20.7109375" style="5" customWidth="1"/>
    <col min="2" max="2" width="24.7109375" style="5" customWidth="1"/>
    <col min="3" max="3" width="33.140625" style="5" customWidth="1"/>
    <col min="4" max="4" width="14.85546875" style="5" customWidth="1"/>
    <col min="5" max="5" width="9.7109375" style="5" customWidth="1"/>
    <col min="6" max="6" width="10" style="8" customWidth="1"/>
    <col min="7" max="7" width="27.28515625" style="5" customWidth="1"/>
    <col min="8" max="8" width="35.28515625" style="5" customWidth="1"/>
    <col min="9" max="9" width="36.42578125" style="5" customWidth="1"/>
    <col min="10" max="10" width="8.85546875" style="5" customWidth="1"/>
    <col min="11" max="16384" width="8.85546875" style="5"/>
  </cols>
  <sheetData>
    <row r="1" spans="1:10" s="4" customFormat="1" ht="18" customHeight="1" x14ac:dyDescent="0.25">
      <c r="A1" s="4" t="s">
        <v>3</v>
      </c>
      <c r="B1" s="4" t="str">
        <f>'Complete List_09252026'!C1</f>
        <v>NAME</v>
      </c>
      <c r="C1" s="4" t="str">
        <f>'Complete List_09252026'!E1</f>
        <v>ADDRESS</v>
      </c>
      <c r="D1" s="4" t="str">
        <f>'Complete List_09252026'!F1</f>
        <v>CITY</v>
      </c>
      <c r="E1" s="4" t="str">
        <f>'Complete List_09252026'!G1</f>
        <v>STATE</v>
      </c>
      <c r="F1" s="10" t="str">
        <f>'Complete List_09252026'!H1</f>
        <v>ZIP</v>
      </c>
      <c r="G1" s="4" t="str">
        <f>'Complete List_09252026'!J1</f>
        <v>EMAIL</v>
      </c>
      <c r="H1" s="4" t="s">
        <v>10</v>
      </c>
      <c r="I1" s="4" t="str">
        <f>'Complete List_09252026'!L1</f>
        <v>NEIGHBORHOOD OF INTEREST</v>
      </c>
    </row>
    <row r="2" spans="1:10" s="26" customFormat="1" ht="18" customHeight="1" x14ac:dyDescent="0.25">
      <c r="A2" s="71" t="s">
        <v>1835</v>
      </c>
      <c r="B2" s="69"/>
      <c r="C2" s="69"/>
      <c r="D2" s="69"/>
      <c r="E2" s="69"/>
      <c r="F2" s="69"/>
      <c r="G2" s="69"/>
      <c r="H2" s="69"/>
      <c r="I2" s="69"/>
      <c r="J2" s="28"/>
    </row>
    <row r="3" spans="1:10" s="14" customFormat="1" ht="26.45" customHeight="1" x14ac:dyDescent="0.25">
      <c r="A3" s="14" t="s">
        <v>1843</v>
      </c>
      <c r="B3" s="14" t="str">
        <f>'Complete List_09252026'!C10</f>
        <v>Jeffrey Kwong</v>
      </c>
      <c r="C3" s="14" t="str">
        <f>'Complete List_09252026'!E10</f>
        <v>1754 Hyde Street</v>
      </c>
      <c r="D3" s="14" t="str">
        <f>'Complete List_09252026'!F10</f>
        <v>San Francisco</v>
      </c>
      <c r="E3" s="14" t="str">
        <f>'Complete List_09252026'!G10</f>
        <v>CA</v>
      </c>
      <c r="F3" s="14">
        <f>'Complete List_09252026'!H10</f>
        <v>94106</v>
      </c>
      <c r="G3" s="14" t="str">
        <f>'Complete List_09252026'!J10</f>
        <v>cardinalsf@gmail.com</v>
      </c>
      <c r="H3" s="14" t="str">
        <f>'Complete List_09252026'!K10</f>
        <v>Physical</v>
      </c>
      <c r="I3" s="14" t="str">
        <f>'Complete List_09252026'!L10</f>
        <v>Chinatown, Downtown Civic Center, Financial District, Nob Hill, North Beach</v>
      </c>
    </row>
    <row r="4" spans="1:10" s="14" customFormat="1" ht="26.45" customHeight="1" x14ac:dyDescent="0.25">
      <c r="A4" s="14" t="s">
        <v>361</v>
      </c>
      <c r="B4" s="14" t="str">
        <f>'Complete List_09252026'!C60</f>
        <v xml:space="preserve">  </v>
      </c>
      <c r="C4" s="14" t="str">
        <f>'Complete List_09252026'!E60</f>
        <v>730 Sacramento Street</v>
      </c>
      <c r="D4" s="14" t="str">
        <f>'Complete List_09252026'!F60</f>
        <v>San Francisco</v>
      </c>
      <c r="E4" s="14" t="str">
        <f>'Complete List_09252026'!G60</f>
        <v>CA</v>
      </c>
      <c r="F4" s="14" t="str">
        <f>'Complete List_09252026'!H60</f>
        <v>94108</v>
      </c>
      <c r="G4" s="14">
        <f>'Complete List_09252026'!J60</f>
        <v>0</v>
      </c>
      <c r="H4" s="14" t="str">
        <f>'Complete List_09252026'!K60</f>
        <v>Physical</v>
      </c>
      <c r="I4" s="14" t="str">
        <f>'Complete List_09252026'!L60</f>
        <v>Chinatown</v>
      </c>
    </row>
    <row r="5" spans="1:10" s="14" customFormat="1" ht="26.45" customHeight="1" x14ac:dyDescent="0.25">
      <c r="A5" s="14" t="s">
        <v>368</v>
      </c>
      <c r="B5" s="14" t="str">
        <f>'Complete List_09252026'!C61</f>
        <v>George   Chan</v>
      </c>
      <c r="C5" s="14" t="str">
        <f>'Complete List_09252026'!E61</f>
        <v>777 Stockton Street #104</v>
      </c>
      <c r="D5" s="14" t="str">
        <f>'Complete List_09252026'!F61</f>
        <v>San Francisco</v>
      </c>
      <c r="E5" s="14" t="str">
        <f>'Complete List_09252026'!G61</f>
        <v>CA</v>
      </c>
      <c r="F5" s="14" t="str">
        <f>'Complete List_09252026'!H61</f>
        <v>94108</v>
      </c>
      <c r="G5" s="14" t="str">
        <f>'Complete List_09252026'!J61</f>
        <v>georgechan@chinesenewcomers.org</v>
      </c>
      <c r="H5" s="14" t="str">
        <f>'Complete List_09252026'!K61</f>
        <v>Electronic</v>
      </c>
      <c r="I5" s="14" t="str">
        <f>'Complete List_09252026'!L61</f>
        <v>Chinatown</v>
      </c>
    </row>
    <row r="6" spans="1:10" s="14" customFormat="1" ht="26.45" customHeight="1" x14ac:dyDescent="0.25">
      <c r="A6" s="14" t="s">
        <v>643</v>
      </c>
      <c r="B6" s="14" t="str">
        <f>'Complete List_09252026'!C106</f>
        <v>Howard Wong</v>
      </c>
      <c r="C6" s="14" t="str">
        <f>'Complete List_09252026'!E106</f>
        <v>126 Varennes</v>
      </c>
      <c r="D6" s="14" t="str">
        <f>'Complete List_09252026'!F106</f>
        <v>San Francisco</v>
      </c>
      <c r="E6" s="14" t="str">
        <f>'Complete List_09252026'!G106</f>
        <v>CA</v>
      </c>
      <c r="F6" s="14" t="str">
        <f>'Complete List_09252026'!H106</f>
        <v>94133</v>
      </c>
      <c r="G6" s="14" t="str">
        <f>'Complete List_09252026'!J106</f>
        <v>WongAIA@aol.com</v>
      </c>
      <c r="H6" s="14" t="str">
        <f>'Complete List_09252026'!K106</f>
        <v>Physical</v>
      </c>
      <c r="I6" s="14" t="str">
        <f>'Complete List_09252026'!L106</f>
        <v>Chinatown, North Beach</v>
      </c>
    </row>
    <row r="7" spans="1:10" s="14" customFormat="1" ht="39.6" customHeight="1" x14ac:dyDescent="0.25">
      <c r="A7" s="14" t="s">
        <v>772</v>
      </c>
      <c r="B7" s="14" t="str">
        <f>'Complete List_09252026'!C129</f>
        <v>Ian Lewis</v>
      </c>
      <c r="C7" s="14" t="str">
        <f>'Complete List_09252026'!E129</f>
        <v>209 Golden Gate Avenue</v>
      </c>
      <c r="D7" s="14" t="str">
        <f>'Complete List_09252026'!F129</f>
        <v>San Francisco</v>
      </c>
      <c r="E7" s="14" t="str">
        <f>'Complete List_09252026'!G129</f>
        <v>CA</v>
      </c>
      <c r="F7" s="14" t="str">
        <f>'Complete List_09252026'!H129</f>
        <v>94102</v>
      </c>
      <c r="G7" s="14">
        <f>'Complete List_09252026'!J129</f>
        <v>0</v>
      </c>
      <c r="H7" s="14" t="str">
        <f>'Complete List_09252026'!K129</f>
        <v>Physical</v>
      </c>
      <c r="I7" s="14" t="str">
        <f>'Complete List_09252026'!L129</f>
        <v>Chinatown, Downtown/Civic Center, Marina, Mission, Nob Hill, North Beach, Pacific Heights, Presidio, South of Market</v>
      </c>
    </row>
    <row r="8" spans="1:10" s="14" customFormat="1" ht="52.9" customHeight="1" x14ac:dyDescent="0.25">
      <c r="A8" s="14" t="s">
        <v>783</v>
      </c>
      <c r="B8" s="14" t="str">
        <f>'Complete List_09252026'!C131</f>
        <v>Antonio Flores</v>
      </c>
      <c r="C8" s="14" t="str">
        <f>'Complete List_09252026'!E131</f>
        <v>545 Post Street</v>
      </c>
      <c r="D8" s="14" t="str">
        <f>'Complete List_09252026'!F131</f>
        <v>San Francisco</v>
      </c>
      <c r="E8" s="14" t="str">
        <f>'Complete List_09252026'!G131</f>
        <v>CA</v>
      </c>
      <c r="F8" s="14">
        <f>'Complete List_09252026'!H131</f>
        <v>94102</v>
      </c>
      <c r="G8" s="14" t="str">
        <f>'Complete List_09252026'!J131</f>
        <v>antonio.flores@viceroyhotelgroup.com</v>
      </c>
      <c r="H8" s="14" t="str">
        <f>'Complete List_09252026'!K131</f>
        <v>Physical</v>
      </c>
      <c r="I8" s="14" t="str">
        <f>'Complete List_09252026'!L131</f>
        <v>Castro/Upper Market, Chinatown, Downtown/Civic Center, Financial District, Nob Hill, North Beach, South of Market, Treasure Island</v>
      </c>
    </row>
    <row r="9" spans="1:10" s="14" customFormat="1" ht="26.45" customHeight="1" x14ac:dyDescent="0.25">
      <c r="A9" s="14" t="s">
        <v>830</v>
      </c>
      <c r="B9" s="14" t="str">
        <f>'Complete List_09252026'!C139</f>
        <v>Sarah Stocking</v>
      </c>
      <c r="C9" s="14" t="str">
        <f>'Complete List_09252026'!E139</f>
        <v>368 Jackson Street</v>
      </c>
      <c r="D9" s="14" t="str">
        <f>'Complete List_09252026'!F139</f>
        <v>San Francisco</v>
      </c>
      <c r="E9" s="14" t="str">
        <f>'Complete List_09252026'!G139</f>
        <v>CA</v>
      </c>
      <c r="F9" s="14">
        <f>'Complete List_09252026'!H139</f>
        <v>94111</v>
      </c>
      <c r="G9" s="14" t="str">
        <f>'Complete List_09252026'!J139</f>
        <v>sarah@sarahstocking.com</v>
      </c>
      <c r="H9" s="14" t="str">
        <f>'Complete List_09252026'!K139</f>
        <v>Physical</v>
      </c>
      <c r="I9" s="14" t="str">
        <f>'Complete List_09252026'!L139</f>
        <v xml:space="preserve">Chinatown, Financial District, North Beach  </v>
      </c>
    </row>
    <row r="10" spans="1:10" s="14" customFormat="1" ht="26.45" customHeight="1" x14ac:dyDescent="0.25">
      <c r="A10" s="14" t="s">
        <v>1633</v>
      </c>
      <c r="B10" s="14" t="str">
        <f>'Complete List_09252026'!C283</f>
        <v>Marc Bruno</v>
      </c>
      <c r="C10" s="14" t="str">
        <f>'Complete List_09252026'!E283</f>
        <v>666 Filbert Street</v>
      </c>
      <c r="D10" s="14" t="str">
        <f>'Complete List_09252026'!F283</f>
        <v>San Francisco</v>
      </c>
      <c r="E10" s="14" t="str">
        <f>'Complete List_09252026'!G283</f>
        <v>CA</v>
      </c>
      <c r="F10" s="14">
        <f>'Complete List_09252026'!H283</f>
        <v>94133</v>
      </c>
      <c r="G10" s="14" t="str">
        <f>'Complete List_09252026'!J283</f>
        <v>marcabruno@yahoo.com</v>
      </c>
      <c r="H10" s="14" t="str">
        <f>'Complete List_09252026'!K283</f>
        <v>Physical</v>
      </c>
      <c r="I10" s="14" t="str">
        <f>'Complete List_09252026'!L283</f>
        <v>Chinatown, Financial District, Nob Hill, North Beach, Russian Hill</v>
      </c>
    </row>
    <row r="11" spans="1:10" s="14" customFormat="1" ht="52.9" customHeight="1" x14ac:dyDescent="0.25">
      <c r="A11" s="14" t="s">
        <v>1417</v>
      </c>
      <c r="B11" s="14" t="str">
        <f>'Complete List_09252026'!C244</f>
        <v>Sue Hestor</v>
      </c>
      <c r="C11" s="14" t="str">
        <f>'Complete List_09252026'!E244</f>
        <v>329 Highland Ave</v>
      </c>
      <c r="D11" s="14" t="str">
        <f>'Complete List_09252026'!F244</f>
        <v>San Francisco</v>
      </c>
      <c r="E11" s="14" t="str">
        <f>'Complete List_09252026'!G244</f>
        <v>CA</v>
      </c>
      <c r="F11" s="14">
        <f>'Complete List_09252026'!H244</f>
        <v>94110</v>
      </c>
      <c r="G11" s="14" t="str">
        <f>'Complete List_09252026'!J244</f>
        <v>hestor@earthlink.net</v>
      </c>
      <c r="H11" s="14" t="s">
        <v>21</v>
      </c>
      <c r="I11" s="14" t="str">
        <f>'Complete List_09252026'!L244</f>
        <v>Bernal Heights, Chinatown, Downtown/Civic Center, Mission</v>
      </c>
    </row>
    <row r="12" spans="1:10" s="26" customFormat="1" ht="18" customHeight="1" x14ac:dyDescent="0.25">
      <c r="A12" s="68" t="s">
        <v>1836</v>
      </c>
      <c r="B12" s="69"/>
      <c r="C12" s="69"/>
      <c r="D12" s="69"/>
      <c r="E12" s="69"/>
      <c r="F12" s="69"/>
      <c r="G12" s="69"/>
      <c r="H12" s="69"/>
      <c r="I12" s="69"/>
      <c r="J12" s="28"/>
    </row>
    <row r="13" spans="1:10" s="14" customFormat="1" ht="66" customHeight="1" x14ac:dyDescent="0.25">
      <c r="A13" s="14" t="s">
        <v>214</v>
      </c>
      <c r="B13" s="14" t="str">
        <f>'Complete List_09252026'!C36</f>
        <v>Danny Sauter</v>
      </c>
      <c r="C13" s="14" t="str">
        <f>'Complete List_09252026'!E36</f>
        <v>1 Dr. Carlton B Goodlett Place, Room #244</v>
      </c>
      <c r="D13" s="14" t="str">
        <f>'Complete List_09252026'!F36</f>
        <v>San Francisco</v>
      </c>
      <c r="E13" s="14" t="str">
        <f>'Complete List_09252026'!G36</f>
        <v>CA</v>
      </c>
      <c r="F13" s="14" t="str">
        <f>'Complete List_09252026'!H36</f>
        <v>94102-4689</v>
      </c>
      <c r="G13" s="14" t="str">
        <f>'Complete List_09252026'!J36</f>
        <v>SauterStaff@sfgov.org;
Michelle.Andrews@sfgov.org; Amy.Lee5@sfgov.org; tita.bell@sfgov.org; tomio.nagano@sfgov.org</v>
      </c>
      <c r="H13" s="14" t="str">
        <f>'Complete List_09252026'!K36</f>
        <v>Both</v>
      </c>
      <c r="I13" s="14" t="str">
        <f>'Complete List_09252026'!L36</f>
        <v>Chinatown, Financial District, Nob Hill, North Beach, Russian Hill</v>
      </c>
    </row>
    <row r="14" spans="1:10" s="26" customFormat="1" ht="18" customHeight="1" x14ac:dyDescent="0.25">
      <c r="A14" s="70" t="s">
        <v>1842</v>
      </c>
      <c r="B14" s="69"/>
      <c r="C14" s="69"/>
      <c r="D14" s="69"/>
      <c r="E14" s="69"/>
      <c r="F14" s="69"/>
      <c r="G14" s="69"/>
      <c r="H14" s="69"/>
      <c r="I14" s="69"/>
      <c r="J14" s="29"/>
    </row>
    <row r="15" spans="1:10" s="14" customFormat="1" ht="66" customHeight="1" x14ac:dyDescent="0.25">
      <c r="A15" s="14" t="s">
        <v>356</v>
      </c>
      <c r="B15" s="14" t="str">
        <f>'Complete List_09252026'!C59</f>
        <v>Malcom Yeung</v>
      </c>
      <c r="C15" s="14" t="str">
        <f>'Complete List_09252026'!E59</f>
        <v>615 Grant Avenue</v>
      </c>
      <c r="D15" s="14" t="str">
        <f>'Complete List_09252026'!F59</f>
        <v>San Francisco</v>
      </c>
      <c r="E15" s="14" t="str">
        <f>'Complete List_09252026'!G59</f>
        <v>CA</v>
      </c>
      <c r="F15" s="14" t="str">
        <f>'Complete List_09252026'!H59</f>
        <v>94133</v>
      </c>
      <c r="G15" s="14" t="str">
        <f>'Complete List_09252026'!J59</f>
        <v>myeung@chinatowncdc.org; matthias.mormino@chinatowncdc.org; sharon.ng@chinatowncdc.org; tandchow@gmail.com;</v>
      </c>
      <c r="H15" s="14" t="str">
        <f>'Complete List_09252026'!K59</f>
        <v>Electronic</v>
      </c>
      <c r="I15" s="14" t="str">
        <f>'Complete List_09252026'!L59</f>
        <v>Chinatown, Financial District, Nob Hill, North Beach, Russian Hill</v>
      </c>
    </row>
    <row r="16" spans="1:10" s="14" customFormat="1" ht="26.45" customHeight="1" x14ac:dyDescent="0.25">
      <c r="A16" s="14" t="s">
        <v>1189</v>
      </c>
      <c r="B16" s="14" t="str">
        <f>'Complete List_09252026'!C205</f>
        <v>Danny Sauter</v>
      </c>
      <c r="C16" s="14" t="str">
        <f>'Complete List_09252026'!E205</f>
        <v>P.O. Box 330115</v>
      </c>
      <c r="D16" s="14" t="str">
        <f>'Complete List_09252026'!F205</f>
        <v>San Francisco</v>
      </c>
      <c r="E16" s="14" t="str">
        <f>'Complete List_09252026'!G205</f>
        <v>CA</v>
      </c>
      <c r="F16" s="14" t="str">
        <f>'Complete List_09252026'!H205</f>
        <v>94133</v>
      </c>
      <c r="G16" s="14" t="str">
        <f>'Complete List_09252026'!J205</f>
        <v>northbeachneighbors@ymail.com</v>
      </c>
      <c r="H16" s="14" t="str">
        <f>'Complete List_09252026'!K205</f>
        <v>Electronic</v>
      </c>
      <c r="I16" s="14" t="str">
        <f>'Complete List_09252026'!L205</f>
        <v>Chinatown, Financial District, Nob Hill, North Beach, Russian Hill</v>
      </c>
    </row>
    <row r="17" spans="1:9" s="14" customFormat="1" ht="26.45" customHeight="1" x14ac:dyDescent="0.25">
      <c r="A17" s="14" t="s">
        <v>1430</v>
      </c>
      <c r="B17" s="14" t="str">
        <f>'Complete List_09252026'!C247</f>
        <v>Anni Chung</v>
      </c>
      <c r="C17" s="14" t="str">
        <f>'Complete List_09252026'!E247</f>
        <v>731 Sansome Street, Suite 1000</v>
      </c>
      <c r="D17" s="14" t="str">
        <f>'Complete List_09252026'!F247</f>
        <v>San Francisco</v>
      </c>
      <c r="E17" s="14" t="str">
        <f>'Complete List_09252026'!G247</f>
        <v>CA</v>
      </c>
      <c r="F17" s="14" t="str">
        <f>'Complete List_09252026'!H247</f>
        <v>94111</v>
      </c>
      <c r="G17" s="14" t="str">
        <f>'Complete List_09252026'!J247</f>
        <v>annic@selfhelpelderly.org</v>
      </c>
      <c r="H17" s="14" t="str">
        <f>'Complete List_09252026'!K247</f>
        <v>Electronic</v>
      </c>
      <c r="I17" s="14" t="str">
        <f>'Complete List_09252026'!L247</f>
        <v>Chinatown, Inner Richmond, Inner Sunset, Outer Richmond, Outer Sunset</v>
      </c>
    </row>
    <row r="18" spans="1:9" s="14" customFormat="1" ht="53.25" customHeight="1" x14ac:dyDescent="0.25">
      <c r="A18" s="14" t="str">
        <f>'Complete List_09252026'!D203</f>
        <v>Northeast San Francisco Conservancy</v>
      </c>
      <c r="B18" s="14" t="str">
        <f>'Complete List_09252026'!C203</f>
        <v>Nancy Shanahan</v>
      </c>
      <c r="C18" s="14" t="str">
        <f>'Complete List_09252026'!E203</f>
        <v>224 Filbert Street</v>
      </c>
      <c r="D18" s="14" t="str">
        <f>'Complete List_09252026'!F203</f>
        <v>San Francisco</v>
      </c>
      <c r="E18" s="14" t="str">
        <f>'Complete List_09252026'!G203</f>
        <v>CA</v>
      </c>
      <c r="F18" s="14">
        <f>'Complete List_09252026'!H203</f>
        <v>94133</v>
      </c>
      <c r="G18" s="14" t="str">
        <f>'Complete List_09252026'!J203</f>
        <v>nshan@mindspring.com</v>
      </c>
      <c r="H18" s="14" t="str">
        <f>'Complete List_09252026'!K203</f>
        <v>Electronic</v>
      </c>
      <c r="I18" s="14" t="str">
        <f>'Complete List_09252026'!L203</f>
        <v>Chinatown, Financial District, North Beach, Russian Hill</v>
      </c>
    </row>
    <row r="19" spans="1:9" s="14" customFormat="1" ht="39.6" customHeight="1" x14ac:dyDescent="0.25">
      <c r="A19" s="14" t="str">
        <f>'Complete List_09252026'!D210</f>
        <v>Northern Neighbors</v>
      </c>
      <c r="B19" s="14" t="str">
        <f>'Complete List_09252026'!C210</f>
        <v>Michael Chen</v>
      </c>
      <c r="C19" s="14" t="str">
        <f>'Complete List_09252026'!E210</f>
        <v>2655 Bush St. Apt. 303</v>
      </c>
      <c r="D19" s="14" t="str">
        <f>'Complete List_09252026'!F210</f>
        <v>San Francisco</v>
      </c>
      <c r="E19" s="14" t="str">
        <f>'Complete List_09252026'!G210</f>
        <v>CA</v>
      </c>
      <c r="F19" s="14">
        <f>'Complete List_09252026'!H210</f>
        <v>94115</v>
      </c>
      <c r="G19" s="14" t="str">
        <f>'Complete List_09252026'!J210</f>
        <v>hello@northernneighbors.org</v>
      </c>
      <c r="H19" s="14" t="str">
        <f>'Complete List_09252026'!K210</f>
        <v>Electronic</v>
      </c>
      <c r="I19" s="14" t="str">
        <f>'Complete List_09252026'!L210</f>
        <v>Chinatown, Financial District, Nob Hill, North Beach, Pacific Heights, Presidio, Presidio Heights, Russian Hill, Seacliff</v>
      </c>
    </row>
    <row r="20" spans="1:9" ht="52.9" customHeight="1" x14ac:dyDescent="0.25">
      <c r="A20" s="5" t="str">
        <f>'Complete List_09252026'!D177</f>
        <v>Mid-Market Neighbors</v>
      </c>
      <c r="B20" s="5" t="str">
        <f>'Complete List_09252026'!C177</f>
        <v>Chuck Obermeyer</v>
      </c>
      <c r="C20" s="5" t="str">
        <f>'Complete List_09252026'!E177</f>
        <v>30 7th Street</v>
      </c>
      <c r="D20" s="5" t="str">
        <f>'Complete List_09252026'!F177</f>
        <v>San Francisco</v>
      </c>
      <c r="E20" s="5" t="str">
        <f>'Complete List_09252026'!G177</f>
        <v>CA</v>
      </c>
      <c r="F20" s="5">
        <f>'Complete List_09252026'!H177</f>
        <v>94103</v>
      </c>
      <c r="G20" s="5" t="str">
        <f>'Complete List_09252026'!J177</f>
        <v>chuck@midmarketneighbors.org</v>
      </c>
      <c r="H20" s="5" t="str">
        <f>'Complete List_09252026'!K177</f>
        <v>Electronic</v>
      </c>
      <c r="I20" s="5" t="str">
        <f>'Complete List_09252026'!L177</f>
        <v>Castro/Upper Market, Chinatown, Downtown/Civic Center, Financial District, Nob Hill, Potrero Hill, South of Market, Western Addition</v>
      </c>
    </row>
    <row r="21" spans="1:9" s="11" customFormat="1" ht="64.5" customHeight="1" x14ac:dyDescent="0.25">
      <c r="A21" s="11" t="str">
        <f>'Complete List_09252026'!D154</f>
        <v>Liberation Alliance for Economic and Social Change</v>
      </c>
      <c r="B21" s="11" t="str">
        <f>'Complete List_09252026'!C154</f>
        <v>Keith Pavlik</v>
      </c>
      <c r="C21" s="11" t="str">
        <f>'Complete List_09252026'!E154</f>
        <v>2969 Mission Street</v>
      </c>
      <c r="D21" s="11" t="str">
        <f>'Complete List_09252026'!F154</f>
        <v>San Francisco</v>
      </c>
      <c r="E21" s="11" t="str">
        <f>'Complete List_09252026'!G154</f>
        <v>CA</v>
      </c>
      <c r="F21" s="11">
        <f>'Complete List_09252026'!H154</f>
        <v>94110</v>
      </c>
      <c r="G21" s="11" t="str">
        <f>'Complete List_09252026'!J154</f>
        <v>info@liberationalliance.org</v>
      </c>
      <c r="H21" s="11" t="str">
        <f>'Complete List_09252026'!K154</f>
        <v>Electronic</v>
      </c>
      <c r="I21" s="11" t="str">
        <f>'Complete List_09252026'!L154</f>
        <v>Bayview, Bernal Heights, Castro/Upper Market, Chinatown, Downtown/Civic Center, Excelsior, Mission, Nob Hill, Noe Valley, Outer Mission, Potrero Hill, South of Market, Western Addition</v>
      </c>
    </row>
    <row r="22" spans="1:9" s="14" customFormat="1" ht="39.6" customHeight="1" x14ac:dyDescent="0.25">
      <c r="A22" s="14" t="str">
        <f>'Complete List_09252026'!D302</f>
        <v>Upper Chinatown Neighborhood Association</v>
      </c>
      <c r="B22" s="14" t="str">
        <f>'Complete List_09252026'!C302</f>
        <v>Jennifer Mei</v>
      </c>
      <c r="C22" s="14" t="str">
        <f>'Complete List_09252026'!E302</f>
        <v>1144 Pacific Avenue</v>
      </c>
      <c r="D22" s="14" t="str">
        <f>'Complete List_09252026'!F302</f>
        <v>San Francisco</v>
      </c>
      <c r="E22" s="14" t="str">
        <f>'Complete List_09252026'!G302</f>
        <v>CA</v>
      </c>
      <c r="F22" s="14">
        <f>'Complete List_09252026'!H302</f>
        <v>94133</v>
      </c>
      <c r="G22" s="14" t="str">
        <f>'Complete List_09252026'!J302</f>
        <v xml:space="preserve">upperchinatownassociation@gmail.com </v>
      </c>
      <c r="H22" s="14" t="str">
        <f>'Complete List_09252026'!K302</f>
        <v>Electronic</v>
      </c>
      <c r="I22" s="14" t="str">
        <f>'Complete List_09252026'!L302</f>
        <v>Chinatown, Nob Hill, Russian Hill</v>
      </c>
    </row>
  </sheetData>
  <autoFilter ref="A1:I1" xr:uid="{00000000-0009-0000-0000-000005000000}">
    <sortState xmlns:xlrd2="http://schemas.microsoft.com/office/spreadsheetml/2017/richdata2" ref="A2:I15">
      <sortCondition ref="H1"/>
    </sortState>
  </autoFilter>
  <mergeCells count="3">
    <mergeCell ref="A12:I12"/>
    <mergeCell ref="A14:I14"/>
    <mergeCell ref="A2:I2"/>
  </mergeCells>
  <pageMargins left="0.7" right="0.7" top="0.75" bottom="0.75" header="0.3" footer="0.3"/>
  <pageSetup scale="52"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J14"/>
  <sheetViews>
    <sheetView zoomScale="75" zoomScaleNormal="75" zoomScalePageLayoutView="75" workbookViewId="0">
      <selection activeCell="A14" sqref="A14:XFD14"/>
    </sheetView>
  </sheetViews>
  <sheetFormatPr defaultColWidth="8.85546875" defaultRowHeight="12.75" x14ac:dyDescent="0.25"/>
  <cols>
    <col min="1" max="1" width="20.7109375" style="5" customWidth="1"/>
    <col min="2" max="2" width="24.7109375" style="5" customWidth="1"/>
    <col min="3" max="3" width="33.140625" style="5" customWidth="1"/>
    <col min="4" max="4" width="14.85546875" style="5" customWidth="1"/>
    <col min="5" max="5" width="9.7109375" style="5" customWidth="1"/>
    <col min="6" max="6" width="10" style="5" customWidth="1"/>
    <col min="7" max="7" width="27.28515625" style="5" customWidth="1"/>
    <col min="8" max="8" width="35.28515625" style="5" customWidth="1"/>
    <col min="9" max="9" width="36.42578125" style="5" customWidth="1"/>
    <col min="10" max="10" width="8.85546875" style="5" customWidth="1"/>
    <col min="11" max="16384" width="8.85546875" style="5"/>
  </cols>
  <sheetData>
    <row r="1" spans="1:10" s="4" customFormat="1" ht="18" customHeight="1" x14ac:dyDescent="0.25">
      <c r="A1" s="4" t="s">
        <v>3</v>
      </c>
      <c r="B1" s="4" t="str">
        <f>'Complete List_09252026'!C1</f>
        <v>NAME</v>
      </c>
      <c r="C1" s="4" t="str">
        <f>'Complete List_09252026'!E1</f>
        <v>ADDRESS</v>
      </c>
      <c r="D1" s="4" t="str">
        <f>'Complete List_09252026'!F1</f>
        <v>CITY</v>
      </c>
      <c r="E1" s="4" t="str">
        <f>'Complete List_09252026'!G1</f>
        <v>STATE</v>
      </c>
      <c r="F1" s="10" t="str">
        <f>'Complete List_09252026'!H1</f>
        <v>ZIP</v>
      </c>
      <c r="G1" s="4" t="str">
        <f>'Complete List_09252026'!J1</f>
        <v>EMAIL</v>
      </c>
      <c r="H1" s="4" t="s">
        <v>10</v>
      </c>
      <c r="I1" s="4" t="str">
        <f>'Complete List_09252026'!L1</f>
        <v>NEIGHBORHOOD OF INTEREST</v>
      </c>
    </row>
    <row r="2" spans="1:10" s="26" customFormat="1" ht="18" customHeight="1" x14ac:dyDescent="0.25">
      <c r="A2" s="71" t="s">
        <v>1835</v>
      </c>
      <c r="B2" s="69"/>
      <c r="C2" s="69"/>
      <c r="D2" s="69"/>
      <c r="E2" s="69"/>
      <c r="F2" s="69"/>
      <c r="G2" s="69"/>
      <c r="H2" s="69"/>
      <c r="I2" s="69"/>
    </row>
    <row r="3" spans="1:10" s="14" customFormat="1" ht="39.6" customHeight="1" x14ac:dyDescent="0.25">
      <c r="A3" s="14" t="s">
        <v>594</v>
      </c>
      <c r="B3" s="14" t="str">
        <f>'Complete List_09252026'!C98</f>
        <v>Mel Flores</v>
      </c>
      <c r="C3" s="14" t="str">
        <f>'Complete List_09252026'!E98</f>
        <v>P.O. Box 12005</v>
      </c>
      <c r="D3" s="14" t="str">
        <f>'Complete List_09252026'!F98</f>
        <v>San Francisco</v>
      </c>
      <c r="E3" s="14" t="str">
        <f>'Complete List_09252026'!G98</f>
        <v>CA</v>
      </c>
      <c r="F3" s="14">
        <f>'Complete List_09252026'!H98</f>
        <v>94112</v>
      </c>
      <c r="G3" s="14" t="str">
        <f>'Complete List_09252026'!J98</f>
        <v>melfloressf@gmail.com</v>
      </c>
      <c r="H3" s="14" t="str">
        <f>'Complete List_09252026'!K98</f>
        <v>Physical</v>
      </c>
      <c r="I3" s="14" t="str">
        <f>'Complete List_09252026'!L98</f>
        <v>Crocker Amazon, Excelsior, Ocean View, Outer Mission</v>
      </c>
    </row>
    <row r="4" spans="1:10" s="14" customFormat="1" ht="92.45" customHeight="1" x14ac:dyDescent="0.25">
      <c r="A4" s="14" t="s">
        <v>1511</v>
      </c>
      <c r="B4" s="14" t="str">
        <f>'Complete List_09252026'!C261</f>
        <v>Francesca Panullo</v>
      </c>
      <c r="C4" s="14" t="str">
        <f>'Complete List_09252026'!E261</f>
        <v>1415 Ocean Ave</v>
      </c>
      <c r="D4" s="14" t="str">
        <f>'Complete List_09252026'!F261</f>
        <v>San Francisco</v>
      </c>
      <c r="E4" s="14" t="str">
        <f>'Complete List_09252026'!G261</f>
        <v>CA</v>
      </c>
      <c r="F4" s="14">
        <f>'Complete List_09252026'!H261</f>
        <v>94112</v>
      </c>
      <c r="G4" s="14" t="str">
        <f>'Complete List_09252026'!J261</f>
        <v>sw8644@sherwin.com</v>
      </c>
      <c r="H4" s="14" t="str">
        <f>'Complete List_09252026'!K261</f>
        <v>Physical</v>
      </c>
      <c r="I4" s="14" t="str">
        <f>'Complete List_09252026'!L261</f>
        <v>Bayview, Bernal Heights, Crocker Amazon, Diamond Heights, Excelsior, Glen Park, Inner Sunset, Lakeshore, Noe Valley, Ocean View, Outer Mission, Outer Sunset, Parkside, Potrero Hill, South Bayshore, Twin Peaks, Visitacion Valley, West of Twin Peaks</v>
      </c>
    </row>
    <row r="5" spans="1:10" s="14" customFormat="1" ht="52.9" customHeight="1" x14ac:dyDescent="0.25">
      <c r="A5" s="14" t="s">
        <v>1326</v>
      </c>
      <c r="B5" s="14" t="str">
        <f>'Complete List_09252026'!C228</f>
        <v>Antonio Diaz</v>
      </c>
      <c r="C5" s="14" t="str">
        <f>'Complete List_09252026'!E228</f>
        <v>474 Valencia Street #125</v>
      </c>
      <c r="D5" s="14" t="str">
        <f>'Complete List_09252026'!F228</f>
        <v>San Francisco</v>
      </c>
      <c r="E5" s="14" t="str">
        <f>'Complete List_09252026'!G228</f>
        <v>CA</v>
      </c>
      <c r="F5" s="14" t="str">
        <f>'Complete List_09252026'!H228</f>
        <v>94103</v>
      </c>
      <c r="G5" s="14" t="str">
        <f>'Complete List_09252026'!J228</f>
        <v>info@podersf.org</v>
      </c>
      <c r="H5" s="14" t="str">
        <f>'Complete List_09252026'!K228</f>
        <v>Physical</v>
      </c>
      <c r="I5" s="14" t="str">
        <f>'Complete List_09252026'!L228</f>
        <v>Crocker Amazon, Excelsior, Mission, Ocean View, Outer Mission, South of Market</v>
      </c>
    </row>
    <row r="6" spans="1:10" s="14" customFormat="1" ht="39.6" customHeight="1" x14ac:dyDescent="0.25">
      <c r="A6" s="14" t="s">
        <v>1149</v>
      </c>
      <c r="B6" s="14" t="str">
        <f>'Complete List_09252026'!C197</f>
        <v>David Hooper</v>
      </c>
      <c r="C6" s="14" t="str">
        <f>'Complete List_09252026'!E197</f>
        <v>P.O. Box 12111</v>
      </c>
      <c r="D6" s="14" t="str">
        <f>'Complete List_09252026'!F197</f>
        <v>San Francisco</v>
      </c>
      <c r="E6" s="14" t="str">
        <f>'Complete List_09252026'!G197</f>
        <v>CA</v>
      </c>
      <c r="F6" s="14" t="str">
        <f>'Complete List_09252026'!H197</f>
        <v>94112</v>
      </c>
      <c r="G6" s="14" t="str">
        <f>'Complete List_09252026'!J197</f>
        <v>nmtiasf@gmail.com</v>
      </c>
      <c r="H6" s="14" t="str">
        <f>'Complete List_09252026'!K197</f>
        <v>Physical</v>
      </c>
      <c r="I6" s="14" t="str">
        <f>'Complete List_09252026'!L197</f>
        <v xml:space="preserve">Crocker Amazon, Excelsior, Glen Park,  Outer Mission, </v>
      </c>
    </row>
    <row r="7" spans="1:10" s="14" customFormat="1" ht="26.45" customHeight="1" x14ac:dyDescent="0.25">
      <c r="A7" s="14" t="s">
        <v>1282</v>
      </c>
      <c r="B7" s="14" t="str">
        <f>'Complete List_09252026'!C221</f>
        <v>Joelle Kenealey</v>
      </c>
      <c r="C7" s="14" t="str">
        <f>'Complete List_09252026'!E221</f>
        <v>P. O. Box 34426</v>
      </c>
      <c r="D7" s="14" t="str">
        <f>'Complete List_09252026'!F221</f>
        <v>San Francisco</v>
      </c>
      <c r="E7" s="14" t="str">
        <f>'Complete List_09252026'!G221</f>
        <v>CA</v>
      </c>
      <c r="F7" s="14">
        <f>'Complete List_09252026'!H221</f>
        <v>94134</v>
      </c>
      <c r="G7" s="14" t="str">
        <f>'Complete List_09252026'!J221</f>
        <v>sfommra@gmail.com</v>
      </c>
      <c r="H7" s="14" t="str">
        <f>'Complete List_09252026'!K221</f>
        <v>Physical</v>
      </c>
      <c r="I7" s="14" t="str">
        <f>'Complete List_09252026'!L221</f>
        <v>Excelsior, Outer Mission, Crocker Amazon, Visitacion Valley</v>
      </c>
    </row>
    <row r="8" spans="1:10" s="26" customFormat="1" ht="18" customHeight="1" x14ac:dyDescent="0.25">
      <c r="A8" s="68" t="s">
        <v>1836</v>
      </c>
      <c r="B8" s="69"/>
      <c r="C8" s="69"/>
      <c r="D8" s="69"/>
      <c r="E8" s="69"/>
      <c r="F8" s="69"/>
      <c r="G8" s="69"/>
      <c r="H8" s="69"/>
      <c r="I8" s="69"/>
    </row>
    <row r="9" spans="1:10" s="14" customFormat="1" ht="26.45" customHeight="1" x14ac:dyDescent="0.25">
      <c r="A9" s="14" t="s">
        <v>214</v>
      </c>
      <c r="B9" s="14" t="str">
        <f>'Complete List_09252026'!C37</f>
        <v>Chyanne Chen</v>
      </c>
      <c r="C9" s="14" t="str">
        <f>'Complete List_09252026'!E37</f>
        <v>1 Dr. Carlton B Goodlett Place, Room #244</v>
      </c>
      <c r="D9" s="14" t="str">
        <f>'Complete List_09252026'!F37</f>
        <v>San Francisco</v>
      </c>
      <c r="E9" s="14" t="str">
        <f>'Complete List_09252026'!G37</f>
        <v>CA</v>
      </c>
      <c r="F9" s="14" t="str">
        <f>'Complete List_09252026'!H37</f>
        <v>94102-4689</v>
      </c>
      <c r="G9" s="14" t="str">
        <f>'Complete List_09252026'!J37</f>
        <v>ChenStaff@sfgov.org;
Charlie.Sciammas@sfgov.org</v>
      </c>
      <c r="H9" s="14" t="str">
        <f>'Complete List_09252026'!K37</f>
        <v>Both</v>
      </c>
      <c r="I9" s="14" t="str">
        <f>'Complete List_09252026'!L37</f>
        <v>Crocker Amazon, Excelsior, Outer Mission, Visitacion Valley</v>
      </c>
    </row>
    <row r="10" spans="1:10" s="26" customFormat="1" ht="18" customHeight="1" x14ac:dyDescent="0.25">
      <c r="A10" s="70" t="s">
        <v>1842</v>
      </c>
      <c r="B10" s="69"/>
      <c r="C10" s="69"/>
      <c r="D10" s="69"/>
      <c r="E10" s="69"/>
      <c r="F10" s="69"/>
      <c r="G10" s="69"/>
      <c r="H10" s="69"/>
      <c r="I10" s="69"/>
      <c r="J10" s="29"/>
    </row>
    <row r="11" spans="1:10" ht="79.150000000000006" customHeight="1" x14ac:dyDescent="0.25">
      <c r="A11" s="11" t="s">
        <v>265</v>
      </c>
      <c r="B11" s="11" t="s">
        <v>264</v>
      </c>
      <c r="C11" s="11" t="s">
        <v>266</v>
      </c>
      <c r="D11" s="11" t="s">
        <v>16</v>
      </c>
      <c r="E11" s="11" t="s">
        <v>17</v>
      </c>
      <c r="F11" s="11">
        <v>94134</v>
      </c>
      <c r="G11" s="11" t="s">
        <v>268</v>
      </c>
      <c r="H11" s="11" t="s">
        <v>63</v>
      </c>
      <c r="I11" s="11" t="s">
        <v>269</v>
      </c>
      <c r="J11" s="11"/>
    </row>
    <row r="12" spans="1:10" ht="38.25" customHeight="1" x14ac:dyDescent="0.25">
      <c r="A12" s="5" t="str">
        <f>'Complete List_09252026'!D216</f>
        <v>OMI Cultural Participation Project</v>
      </c>
      <c r="B12" s="5" t="str">
        <f>'Complete List_09252026'!C216</f>
        <v>Maurice Rivers</v>
      </c>
      <c r="C12" s="5" t="str">
        <f>'Complete List_09252026'!E216</f>
        <v xml:space="preserve">P.O. Box 12263 </v>
      </c>
      <c r="D12" s="5" t="str">
        <f>'Complete List_09252026'!F216</f>
        <v>San Francisco</v>
      </c>
      <c r="E12" s="5" t="str">
        <f>'Complete List_09252026'!G216</f>
        <v>CA</v>
      </c>
      <c r="F12" s="5">
        <f>'Complete List_09252026'!H216</f>
        <v>94112</v>
      </c>
      <c r="G12" s="5" t="str">
        <f>'Complete List_09252026'!J216</f>
        <v>jumpstreet1983@gmail.com</v>
      </c>
      <c r="H12" s="5" t="str">
        <f>'Complete List_09252026'!K216</f>
        <v>Electronic</v>
      </c>
      <c r="I12" s="5" t="str">
        <f>'Complete List_09252026'!L216</f>
        <v>Crocker Amazon, Excelsior, Ocean View, Outer Mission</v>
      </c>
    </row>
    <row r="13" spans="1:10" s="14" customFormat="1" ht="39.6" customHeight="1" x14ac:dyDescent="0.25">
      <c r="A13" s="14" t="s">
        <v>1259</v>
      </c>
      <c r="B13" s="14" t="str">
        <f>'Complete List_09252026'!C217</f>
        <v>Anietie Ekanem</v>
      </c>
      <c r="C13" s="14" t="str">
        <f>'Complete List_09252026'!E217</f>
        <v>5800 3rd Street #1320</v>
      </c>
      <c r="D13" s="14" t="str">
        <f>'Complete List_09252026'!F217</f>
        <v>San Francisco</v>
      </c>
      <c r="E13" s="14" t="str">
        <f>'Complete List_09252026'!G217</f>
        <v>CA</v>
      </c>
      <c r="F13" s="14">
        <f>'Complete List_09252026'!H217</f>
        <v>94124</v>
      </c>
      <c r="G13" s="14" t="str">
        <f>'Complete List_09252026'!J217</f>
        <v>sfplanningdepartment@onebayview.com
aekanem@onebayview.com</v>
      </c>
      <c r="H13" s="14" t="str">
        <f>'Complete List_09252026'!K217</f>
        <v>Electronic</v>
      </c>
      <c r="I13" s="14" t="str">
        <f>'Complete List_09252026'!L217</f>
        <v>Bayview, Crocker Amazon, Excelsior, Ocean View, Potrero Hill, Visitacion Valley</v>
      </c>
    </row>
    <row r="14" spans="1:10" ht="38.25" x14ac:dyDescent="0.25">
      <c r="A14" s="5" t="str">
        <f>'Complete List_09252026'!D146</f>
        <v>Keep Crocker Real</v>
      </c>
      <c r="B14" s="5" t="str">
        <f>'Complete List_09252026'!C146</f>
        <v>KC Real</v>
      </c>
      <c r="C14" s="5">
        <f>'Complete List_09252026'!E146</f>
        <v>0</v>
      </c>
      <c r="D14" s="5" t="str">
        <f>'Complete List_09252026'!F146</f>
        <v>San Francisco</v>
      </c>
      <c r="E14" s="5" t="str">
        <f>'Complete List_09252026'!G146</f>
        <v>CA</v>
      </c>
      <c r="F14" s="5">
        <f>'Complete List_09252026'!H146</f>
        <v>94112</v>
      </c>
      <c r="G14" s="5" t="str">
        <f>'Complete List_09252026'!J146</f>
        <v>hello@keepcrockerreal.com</v>
      </c>
      <c r="H14" s="5" t="str">
        <f>'Complete List_09252026'!K146</f>
        <v>Electronic</v>
      </c>
      <c r="I14" s="5" t="str">
        <f>'Complete List_09252026'!L146</f>
        <v>Bayview, Crocker Amazon, Excelsior, Glen Park, Outer Mission, Visitacion Valley</v>
      </c>
    </row>
  </sheetData>
  <autoFilter ref="A1:I1" xr:uid="{00000000-0009-0000-0000-000006000000}">
    <sortState xmlns:xlrd2="http://schemas.microsoft.com/office/spreadsheetml/2017/richdata2" ref="A2:I8">
      <sortCondition descending="1" ref="H1"/>
    </sortState>
  </autoFilter>
  <mergeCells count="3">
    <mergeCell ref="A10:I10"/>
    <mergeCell ref="A8:I8"/>
    <mergeCell ref="A2:I2"/>
  </mergeCells>
  <pageMargins left="0.7" right="0.7" top="0.75" bottom="0.75" header="0.3" footer="0.3"/>
  <pageSetup scale="52"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J13"/>
  <sheetViews>
    <sheetView zoomScale="75" zoomScaleNormal="75" zoomScalePageLayoutView="75" workbookViewId="0">
      <selection activeCell="A4" sqref="A4:XFD4"/>
    </sheetView>
  </sheetViews>
  <sheetFormatPr defaultColWidth="8.85546875" defaultRowHeight="12.75" x14ac:dyDescent="0.2"/>
  <cols>
    <col min="1" max="1" width="20.7109375" style="7" customWidth="1"/>
    <col min="2" max="2" width="24.7109375" style="7" customWidth="1"/>
    <col min="3" max="3" width="33.140625" style="7" customWidth="1"/>
    <col min="4" max="4" width="14.85546875" style="7" customWidth="1"/>
    <col min="5" max="5" width="9.7109375" style="7" customWidth="1"/>
    <col min="6" max="6" width="10" style="12" customWidth="1"/>
    <col min="7" max="7" width="27.28515625" style="7" customWidth="1"/>
    <col min="8" max="8" width="35.28515625" style="7" customWidth="1"/>
    <col min="9" max="9" width="36.42578125" style="7" customWidth="1"/>
    <col min="10" max="10" width="8.85546875" style="7" customWidth="1"/>
    <col min="11" max="16384" width="8.85546875" style="7"/>
  </cols>
  <sheetData>
    <row r="1" spans="1:10" s="4" customFormat="1" ht="18" customHeight="1" x14ac:dyDescent="0.25">
      <c r="A1" s="4" t="s">
        <v>3</v>
      </c>
      <c r="B1" s="4" t="str">
        <f>'Complete List_09252026'!C1</f>
        <v>NAME</v>
      </c>
      <c r="C1" s="4" t="str">
        <f>'Complete List_09252026'!E1</f>
        <v>ADDRESS</v>
      </c>
      <c r="D1" s="4" t="str">
        <f>'Complete List_09252026'!F1</f>
        <v>CITY</v>
      </c>
      <c r="E1" s="4" t="str">
        <f>'Complete List_09252026'!G1</f>
        <v>STATE</v>
      </c>
      <c r="F1" s="10" t="str">
        <f>'Complete List_09252026'!H1</f>
        <v>ZIP</v>
      </c>
      <c r="G1" s="4" t="str">
        <f>'Complete List_09252026'!J1</f>
        <v>EMAIL</v>
      </c>
      <c r="H1" s="4" t="s">
        <v>10</v>
      </c>
      <c r="I1" s="4" t="str">
        <f>'Complete List_09252026'!L1</f>
        <v>NEIGHBORHOOD OF INTEREST</v>
      </c>
    </row>
    <row r="2" spans="1:10" s="26" customFormat="1" ht="18" customHeight="1" x14ac:dyDescent="0.25">
      <c r="A2" s="71" t="s">
        <v>1835</v>
      </c>
      <c r="B2" s="69"/>
      <c r="C2" s="69"/>
      <c r="D2" s="69"/>
      <c r="E2" s="69"/>
      <c r="F2" s="69"/>
      <c r="G2" s="69"/>
      <c r="H2" s="69"/>
      <c r="I2" s="69"/>
      <c r="J2" s="28"/>
    </row>
    <row r="3" spans="1:10" s="14" customFormat="1" x14ac:dyDescent="0.25">
      <c r="A3" s="14" t="s">
        <v>1019</v>
      </c>
      <c r="C3" s="14" t="str">
        <f>'Complete List_09252026'!E172</f>
        <v>1001 Franklin Street, Apt. 10K</v>
      </c>
      <c r="D3" s="14" t="str">
        <f>'Complete List_09252026'!F172</f>
        <v>San Francisco</v>
      </c>
      <c r="E3" s="14" t="str">
        <f>'Complete List_09252026'!G172</f>
        <v>CA</v>
      </c>
      <c r="F3" s="14">
        <f>'Complete List_09252026'!H172</f>
        <v>94109</v>
      </c>
      <c r="G3" s="14" t="str">
        <f>'Complete List_09252026'!J172</f>
        <v>larnder@aol.com</v>
      </c>
      <c r="H3" s="14" t="str">
        <f>'Complete List_09252026'!K172</f>
        <v>Physical</v>
      </c>
      <c r="I3" s="14" t="str">
        <f>'Complete List_09252026'!L172</f>
        <v>Downtown/Civic Center</v>
      </c>
    </row>
    <row r="4" spans="1:10" s="14" customFormat="1" ht="92.45" customHeight="1" x14ac:dyDescent="0.25">
      <c r="A4" s="14" t="s">
        <v>1511</v>
      </c>
      <c r="B4" s="14" t="str">
        <f>'Complete List_09252026'!C261</f>
        <v>Francesca Panullo</v>
      </c>
      <c r="C4" s="14" t="str">
        <f>'Complete List_09252026'!E261</f>
        <v>1415 Ocean Ave</v>
      </c>
      <c r="D4" s="14" t="str">
        <f>'Complete List_09252026'!F261</f>
        <v>San Francisco</v>
      </c>
      <c r="E4" s="14" t="str">
        <f>'Complete List_09252026'!G261</f>
        <v>CA</v>
      </c>
      <c r="F4" s="14">
        <f>'Complete List_09252026'!H261</f>
        <v>94112</v>
      </c>
      <c r="G4" s="14" t="str">
        <f>'Complete List_09252026'!J261</f>
        <v>sw8644@sherwin.com</v>
      </c>
      <c r="H4" s="14" t="str">
        <f>'Complete List_09252026'!K261</f>
        <v>Physical</v>
      </c>
      <c r="I4" s="14" t="str">
        <f>'Complete List_09252026'!L261</f>
        <v>Bayview, Bernal Heights, Crocker Amazon, Diamond Heights, Excelsior, Glen Park, Inner Sunset, Lakeshore, Noe Valley, Ocean View, Outer Mission, Outer Sunset, Parkside, Potrero Hill, South Bayshore, Twin Peaks, Visitacion Valley, West of Twin Peaks</v>
      </c>
    </row>
    <row r="5" spans="1:10" s="14" customFormat="1" ht="52.9" customHeight="1" x14ac:dyDescent="0.25">
      <c r="A5" s="14" t="s">
        <v>1780</v>
      </c>
      <c r="B5" s="14" t="str">
        <f>'Complete List_09252026'!C309</f>
        <v>Matt Chamberlain</v>
      </c>
      <c r="C5" s="14" t="str">
        <f>'Complete List_09252026'!E309</f>
        <v>P.O. Box 27112</v>
      </c>
      <c r="D5" s="14" t="str">
        <f>'Complete List_09252026'!F309</f>
        <v>San Francisco</v>
      </c>
      <c r="E5" s="14" t="str">
        <f>'Complete List_09252026'!G309</f>
        <v>CA</v>
      </c>
      <c r="F5" s="14" t="str">
        <f>'Complete List_09252026'!H309</f>
        <v>94127</v>
      </c>
      <c r="G5" s="14" t="str">
        <f>'Complete List_09252026'!J309</f>
        <v xml:space="preserve">info@WestOfTwinPeaks.org
President@WestOfTwinPeaks.org 
</v>
      </c>
      <c r="H5" s="14" t="str">
        <f>'Complete List_09252026'!K309</f>
        <v>Physical</v>
      </c>
      <c r="I5" s="14" t="str">
        <f>'Complete List_09252026'!L309</f>
        <v>Diamond Heights, Lakeshore, Parkside, Twin Peaks, West of Twin Peaks</v>
      </c>
    </row>
    <row r="6" spans="1:10" s="26" customFormat="1" ht="18" customHeight="1" x14ac:dyDescent="0.25">
      <c r="A6" s="68" t="s">
        <v>1836</v>
      </c>
      <c r="B6" s="69"/>
      <c r="C6" s="69"/>
      <c r="D6" s="69"/>
      <c r="E6" s="69"/>
      <c r="F6" s="69"/>
      <c r="G6" s="69"/>
      <c r="H6" s="69"/>
      <c r="I6" s="69"/>
      <c r="J6" s="28"/>
    </row>
    <row r="7" spans="1:10" s="14" customFormat="1" ht="66" customHeight="1" x14ac:dyDescent="0.25">
      <c r="A7" s="14" t="s">
        <v>214</v>
      </c>
      <c r="B7" s="14" t="str">
        <f>'Complete List_09252026'!C38</f>
        <v>Rafael Mandelman</v>
      </c>
      <c r="C7" s="14" t="str">
        <f>'Complete List_09252026'!E38</f>
        <v>1 Dr. Carlton B Goodlett Place, Room #244</v>
      </c>
      <c r="D7" s="14" t="str">
        <f>'Complete List_09252026'!F38</f>
        <v>San Francisco</v>
      </c>
      <c r="E7" s="14" t="str">
        <f>'Complete List_09252026'!G38</f>
        <v>CA</v>
      </c>
      <c r="F7" s="14" t="str">
        <f>'Complete List_09252026'!H38</f>
        <v>94102-4689</v>
      </c>
      <c r="G7" s="14" t="str">
        <f>'Complete List_09252026'!J38</f>
        <v>Rafael.Mandelman@sfgov.org;
Kyle.Smeallie@sfgov.org;
Tom.Temprano@sfgov.org;
jacob.bintliff@sfgov.org; 
mandelmanstaff@sfgov.org</v>
      </c>
      <c r="H7" s="14" t="str">
        <f>'Complete List_09252026'!K38</f>
        <v>Both</v>
      </c>
      <c r="I7" s="14" t="str">
        <f>'Complete List_09252026'!L38</f>
        <v>Castro/Upper Market, Diamond Heights, Glen Park, Noe Valley, Twin Peaks</v>
      </c>
    </row>
    <row r="8" spans="1:10" s="26" customFormat="1" ht="18" customHeight="1" x14ac:dyDescent="0.25">
      <c r="A8" s="70" t="s">
        <v>1842</v>
      </c>
      <c r="B8" s="69"/>
      <c r="C8" s="69"/>
      <c r="D8" s="69"/>
      <c r="E8" s="69"/>
      <c r="F8" s="69"/>
      <c r="G8" s="69"/>
      <c r="H8" s="69"/>
      <c r="I8" s="69"/>
      <c r="J8" s="29"/>
    </row>
    <row r="9" spans="1:10" s="14" customFormat="1" ht="26.45" customHeight="1" x14ac:dyDescent="0.25">
      <c r="A9" s="14" t="s">
        <v>476</v>
      </c>
      <c r="B9" s="14" t="str">
        <f>'Complete List_09252026'!C79</f>
        <v>Daniel Schereck</v>
      </c>
      <c r="C9" s="14" t="str">
        <f>'Complete List_09252026'!E79</f>
        <v>P.O. Box 31529</v>
      </c>
      <c r="D9" s="14" t="str">
        <f>'Complete List_09252026'!F79</f>
        <v>San Francisco</v>
      </c>
      <c r="E9" s="14" t="str">
        <f>'Complete List_09252026'!G79</f>
        <v>CA</v>
      </c>
      <c r="F9" s="14">
        <f>'Complete List_09252026'!H79</f>
        <v>94131</v>
      </c>
      <c r="G9" s="14" t="str">
        <f>'Complete List_09252026'!J79</f>
        <v>dhcasf@gmail.com</v>
      </c>
      <c r="H9" s="14" t="str">
        <f>'Complete List_09252026'!K79</f>
        <v>Electronic</v>
      </c>
      <c r="I9" s="14" t="str">
        <f>'Complete List_09252026'!L79</f>
        <v>Diamond Heights, Glen Park, Noe Valley</v>
      </c>
    </row>
    <row r="10" spans="1:10" s="14" customFormat="1" ht="39.6" customHeight="1" x14ac:dyDescent="0.25">
      <c r="A10" s="14" t="s">
        <v>483</v>
      </c>
      <c r="B10" s="14" t="str">
        <f>'Complete List_09252026'!C80</f>
        <v>Carey Rutigliano</v>
      </c>
      <c r="C10" s="14" t="str">
        <f>'Complete List_09252026'!E80</f>
        <v>108 Everson Street</v>
      </c>
      <c r="D10" s="14" t="str">
        <f>'Complete List_09252026'!F80</f>
        <v>San Francisco</v>
      </c>
      <c r="E10" s="14" t="str">
        <f>'Complete List_09252026'!G80</f>
        <v>CA</v>
      </c>
      <c r="F10" s="14" t="str">
        <f>'Complete List_09252026'!H80</f>
        <v>94131</v>
      </c>
      <c r="G10" s="14" t="str">
        <f>'Complete List_09252026'!J80</f>
        <v>careyruttig@yahoo.com</v>
      </c>
      <c r="H10" s="14" t="str">
        <f>'Complete List_09252026'!K80</f>
        <v>Electronic</v>
      </c>
      <c r="I10" s="14" t="str">
        <f>'Complete List_09252026'!L80</f>
        <v>Diamond Heights, Glen Park</v>
      </c>
    </row>
    <row r="11" spans="1:10" s="14" customFormat="1" ht="52.9" customHeight="1" x14ac:dyDescent="0.25">
      <c r="A11" s="14" t="s">
        <v>1477</v>
      </c>
      <c r="B11" s="14" t="str">
        <f>'Complete List_09252026'!C255</f>
        <v>Gary Weiss</v>
      </c>
      <c r="C11" s="14" t="str">
        <f>'Complete List_09252026'!E255</f>
        <v>78 Mars Street</v>
      </c>
      <c r="D11" s="14" t="str">
        <f>'Complete List_09252026'!F255</f>
        <v>San Francisco</v>
      </c>
      <c r="E11" s="14" t="str">
        <f>'Complete List_09252026'!G255</f>
        <v>CA</v>
      </c>
      <c r="F11" s="14">
        <f>'Complete List_09252026'!H255</f>
        <v>94114</v>
      </c>
      <c r="G11" s="14" t="str">
        <f>'Complete List_09252026'!J255</f>
        <v>garysfx@gmail.com</v>
      </c>
      <c r="H11" s="14" t="str">
        <f>'Complete List_09252026'!K255</f>
        <v>Electronic</v>
      </c>
      <c r="I11" s="14" t="str">
        <f>'Complete List_09252026'!L255</f>
        <v>Castro/Upper Market, Diamond Heights, Glen Park, Haight Ashbury, Mission, Noe Valley, South of Market, Twin Peaks, Upper Market, Western Addition</v>
      </c>
    </row>
    <row r="12" spans="1:10" s="14" customFormat="1" ht="39.6" customHeight="1" x14ac:dyDescent="0.25">
      <c r="A12" s="14" t="s">
        <v>1518</v>
      </c>
      <c r="B12" s="14" t="str">
        <f>'Complete List_09252026'!C262</f>
        <v>Tom Hoshiyama / Hiliarie Connolly</v>
      </c>
      <c r="C12" s="14" t="str">
        <f>'Complete List_09252026'!E262</f>
        <v>111 Robinhood Drive</v>
      </c>
      <c r="D12" s="14" t="str">
        <f>'Complete List_09252026'!F262</f>
        <v>San Francisco</v>
      </c>
      <c r="E12" s="14" t="str">
        <f>'Complete List_09252026'!G262</f>
        <v>CA</v>
      </c>
      <c r="F12" s="14">
        <f>'Complete List_09252026'!H262</f>
        <v>94127</v>
      </c>
      <c r="G12" s="14" t="str">
        <f>'Complete List_09252026'!J262</f>
        <v>ConnollyHilarie@gmail.com</v>
      </c>
      <c r="H12" s="14" t="str">
        <f>'Complete List_09252026'!K262</f>
        <v>Electronic</v>
      </c>
      <c r="I12" s="14" t="str">
        <f>'Complete List_09252026'!L262</f>
        <v>Diamond Heights, Twin Peaks, West of Twin Peaks</v>
      </c>
    </row>
    <row r="13" spans="1:10" s="14" customFormat="1" ht="55.5" customHeight="1" x14ac:dyDescent="0.25">
      <c r="A13" s="14" t="s">
        <v>1708</v>
      </c>
      <c r="B13" s="14" t="str">
        <f>'Complete List_09252026'!C296</f>
        <v>Nancy O'Brien</v>
      </c>
      <c r="C13" s="14" t="str">
        <f>'Complete List_09252026'!E296</f>
        <v>74 Crestline Drive, #9</v>
      </c>
      <c r="D13" s="14" t="str">
        <f>'Complete List_09252026'!F296</f>
        <v>San Francisco</v>
      </c>
      <c r="E13" s="14" t="str">
        <f>'Complete List_09252026'!G296</f>
        <v>CA</v>
      </c>
      <c r="F13" s="14">
        <f>'Complete List_09252026'!H296</f>
        <v>94131</v>
      </c>
      <c r="G13" s="14" t="str">
        <f>'Complete List_09252026'!J296</f>
        <v>nancyob6@comcast.net</v>
      </c>
      <c r="H13" s="14" t="str">
        <f>'Complete List_09252026'!K296</f>
        <v>Electronic</v>
      </c>
      <c r="I13" s="14" t="str">
        <f>'Complete List_09252026'!L296</f>
        <v>Diamond Heights, Twin Peaks</v>
      </c>
    </row>
  </sheetData>
  <autoFilter ref="A1:I1" xr:uid="{00000000-0009-0000-0000-000007000000}">
    <sortState xmlns:xlrd2="http://schemas.microsoft.com/office/spreadsheetml/2017/richdata2" ref="A2:I11">
      <sortCondition descending="1" ref="H1"/>
    </sortState>
  </autoFilter>
  <mergeCells count="3">
    <mergeCell ref="A8:I8"/>
    <mergeCell ref="A2:I2"/>
    <mergeCell ref="A6:I6"/>
  </mergeCells>
  <pageMargins left="0.7" right="0.7" top="0.75" bottom="0.75" header="0.3" footer="0.3"/>
  <pageSetup scale="53"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J34"/>
  <sheetViews>
    <sheetView topLeftCell="A11" zoomScale="75" zoomScaleNormal="75" zoomScalePageLayoutView="75" workbookViewId="0">
      <selection activeCell="A15" sqref="A15:XFD15"/>
    </sheetView>
  </sheetViews>
  <sheetFormatPr defaultColWidth="8.85546875" defaultRowHeight="12.75" x14ac:dyDescent="0.25"/>
  <cols>
    <col min="1" max="1" width="20.7109375" style="5" customWidth="1"/>
    <col min="2" max="2" width="24.7109375" style="5" customWidth="1"/>
    <col min="3" max="3" width="33.140625" style="5" customWidth="1"/>
    <col min="4" max="4" width="14.85546875" style="5" customWidth="1"/>
    <col min="5" max="5" width="9.7109375" style="5" customWidth="1"/>
    <col min="6" max="6" width="10" style="8" customWidth="1"/>
    <col min="7" max="7" width="27.28515625" style="5" customWidth="1"/>
    <col min="8" max="8" width="35.28515625" style="5" customWidth="1"/>
    <col min="9" max="9" width="36.42578125" style="5" customWidth="1"/>
    <col min="10" max="10" width="8.85546875" style="5" customWidth="1"/>
    <col min="11" max="16384" width="8.85546875" style="5"/>
  </cols>
  <sheetData>
    <row r="1" spans="1:10" s="4" customFormat="1" ht="18" customHeight="1" x14ac:dyDescent="0.25">
      <c r="A1" s="4" t="s">
        <v>3</v>
      </c>
      <c r="B1" s="4" t="str">
        <f>'Complete List_09252026'!C1</f>
        <v>NAME</v>
      </c>
      <c r="C1" s="4" t="str">
        <f>'Complete List_09252026'!E1</f>
        <v>ADDRESS</v>
      </c>
      <c r="D1" s="4" t="str">
        <f>'Complete List_09252026'!F1</f>
        <v>CITY</v>
      </c>
      <c r="E1" s="4" t="str">
        <f>'Complete List_09252026'!G1</f>
        <v>STATE</v>
      </c>
      <c r="F1" s="10" t="str">
        <f>'Complete List_09252026'!H1</f>
        <v>ZIP</v>
      </c>
      <c r="G1" s="4" t="str">
        <f>'Complete List_09252026'!J1</f>
        <v>EMAIL</v>
      </c>
      <c r="H1" s="4" t="s">
        <v>10</v>
      </c>
      <c r="I1" s="4" t="str">
        <f>'Complete List_09252026'!L1</f>
        <v>NEIGHBORHOOD OF INTEREST</v>
      </c>
    </row>
    <row r="2" spans="1:10" s="26" customFormat="1" ht="18" customHeight="1" x14ac:dyDescent="0.25">
      <c r="A2" s="71" t="s">
        <v>1835</v>
      </c>
      <c r="B2" s="69"/>
      <c r="C2" s="69"/>
      <c r="D2" s="69"/>
      <c r="E2" s="69"/>
      <c r="F2" s="69"/>
      <c r="G2" s="69"/>
      <c r="H2" s="69"/>
      <c r="I2" s="69"/>
      <c r="J2" s="28"/>
    </row>
    <row r="3" spans="1:10" s="14" customFormat="1" ht="26.45" customHeight="1" x14ac:dyDescent="0.25">
      <c r="A3" s="14" t="s">
        <v>1843</v>
      </c>
      <c r="B3" s="14" t="str">
        <f>'Complete List_09252026'!C10</f>
        <v>Jeffrey Kwong</v>
      </c>
      <c r="C3" s="14" t="str">
        <f>'Complete List_09252026'!E10</f>
        <v>1754 Hyde Street</v>
      </c>
      <c r="D3" s="14" t="str">
        <f>'Complete List_09252026'!F10</f>
        <v>San Francisco</v>
      </c>
      <c r="E3" s="14" t="str">
        <f>'Complete List_09252026'!G10</f>
        <v>CA</v>
      </c>
      <c r="F3" s="14">
        <f>'Complete List_09252026'!H10</f>
        <v>94106</v>
      </c>
      <c r="G3" s="14" t="str">
        <f>'Complete List_09252026'!J10</f>
        <v>cardinalsf@gmail.com</v>
      </c>
      <c r="H3" s="14" t="str">
        <f>'Complete List_09252026'!K10</f>
        <v>Physical</v>
      </c>
      <c r="I3" s="14" t="str">
        <f>'Complete List_09252026'!L10</f>
        <v>Chinatown, Downtown Civic Center, Financial District, Nob Hill, North Beach</v>
      </c>
    </row>
    <row r="4" spans="1:10" s="14" customFormat="1" ht="39.6" customHeight="1" x14ac:dyDescent="0.25">
      <c r="A4" s="14" t="s">
        <v>374</v>
      </c>
      <c r="B4" s="14" t="str">
        <f>'Complete List_09252026'!C62</f>
        <v>Tracy Everwine</v>
      </c>
      <c r="C4" s="14" t="str">
        <f>'Complete List_09252026'!E62</f>
        <v>234 Van Ness Avenue</v>
      </c>
      <c r="D4" s="14" t="str">
        <f>'Complete List_09252026'!F62</f>
        <v>San Francisco</v>
      </c>
      <c r="E4" s="14" t="str">
        <f>'Complete List_09252026'!G62</f>
        <v>CA</v>
      </c>
      <c r="F4" s="14">
        <f>'Complete List_09252026'!H62</f>
        <v>94102</v>
      </c>
      <c r="G4" s="14" t="str">
        <f>'Complete List_09252026'!J62</f>
        <v>info@sfciviccenter.org</v>
      </c>
      <c r="H4" s="14" t="str">
        <f>'Complete List_09252026'!K62</f>
        <v>Physical</v>
      </c>
      <c r="I4" s="14" t="str">
        <f>'Complete List_09252026'!L62</f>
        <v>Downtown/Civic Center</v>
      </c>
    </row>
    <row r="5" spans="1:10" s="14" customFormat="1" ht="39.6" customHeight="1" x14ac:dyDescent="0.25">
      <c r="A5" s="14" t="s">
        <v>772</v>
      </c>
      <c r="B5" s="14" t="str">
        <f>'Complete List_09252026'!C129</f>
        <v>Ian Lewis</v>
      </c>
      <c r="C5" s="14" t="str">
        <f>'Complete List_09252026'!E129</f>
        <v>209 Golden Gate Avenue</v>
      </c>
      <c r="D5" s="14" t="str">
        <f>'Complete List_09252026'!F129</f>
        <v>San Francisco</v>
      </c>
      <c r="E5" s="14" t="str">
        <f>'Complete List_09252026'!G129</f>
        <v>CA</v>
      </c>
      <c r="F5" s="14" t="str">
        <f>'Complete List_09252026'!H129</f>
        <v>94102</v>
      </c>
      <c r="G5" s="14">
        <f>'Complete List_09252026'!J129</f>
        <v>0</v>
      </c>
      <c r="H5" s="14" t="str">
        <f>'Complete List_09252026'!K129</f>
        <v>Physical</v>
      </c>
      <c r="I5" s="14" t="str">
        <f>'Complete List_09252026'!L129</f>
        <v>Chinatown, Downtown/Civic Center, Marina, Mission, Nob Hill, North Beach, Pacific Heights, Presidio, South of Market</v>
      </c>
    </row>
    <row r="6" spans="1:10" s="14" customFormat="1" ht="52.9" customHeight="1" x14ac:dyDescent="0.25">
      <c r="A6" s="14" t="s">
        <v>783</v>
      </c>
      <c r="B6" s="14" t="str">
        <f>'Complete List_09252026'!C131</f>
        <v>Antonio Flores</v>
      </c>
      <c r="C6" s="14" t="str">
        <f>'Complete List_09252026'!E131</f>
        <v>545 Post Street</v>
      </c>
      <c r="D6" s="14" t="str">
        <f>'Complete List_09252026'!F131</f>
        <v>San Francisco</v>
      </c>
      <c r="E6" s="14" t="str">
        <f>'Complete List_09252026'!G131</f>
        <v>CA</v>
      </c>
      <c r="F6" s="14">
        <f>'Complete List_09252026'!H131</f>
        <v>94102</v>
      </c>
      <c r="G6" s="14" t="str">
        <f>'Complete List_09252026'!J131</f>
        <v>antonio.flores@viceroyhotelgroup.com</v>
      </c>
      <c r="H6" s="14" t="str">
        <f>'Complete List_09252026'!K131</f>
        <v>Physical</v>
      </c>
      <c r="I6" s="14" t="str">
        <f>'Complete List_09252026'!L131</f>
        <v>Castro/Upper Market, Chinatown, Downtown/Civic Center, Financial District, Nob Hill, North Beach, South of Market, Treasure Island</v>
      </c>
    </row>
    <row r="7" spans="1:10" s="14" customFormat="1" ht="39.6" customHeight="1" x14ac:dyDescent="0.25">
      <c r="A7" s="14" t="s">
        <v>1000</v>
      </c>
      <c r="B7" s="14" t="str">
        <f>'Complete List_09252026'!C169</f>
        <v>Kasey Rios Asberry</v>
      </c>
      <c r="C7" s="14" t="str">
        <f>'Complete List_09252026'!E169</f>
        <v>245 Hyde Street</v>
      </c>
      <c r="D7" s="14" t="str">
        <f>'Complete List_09252026'!F169</f>
        <v>San Francisco</v>
      </c>
      <c r="E7" s="14" t="str">
        <f>'Complete List_09252026'!G169</f>
        <v>CA</v>
      </c>
      <c r="F7" s="14">
        <f>'Complete List_09252026'!H169</f>
        <v>94102</v>
      </c>
      <c r="G7" s="14" t="str">
        <f>'Complete List_09252026'!J169</f>
        <v>grow@demonstration-gardens.org</v>
      </c>
      <c r="H7" s="14" t="str">
        <f>'Complete List_09252026'!K169</f>
        <v>Physical</v>
      </c>
      <c r="I7" s="14" t="str">
        <f>'Complete List_09252026'!L169</f>
        <v>Downtown / Civic Center</v>
      </c>
    </row>
    <row r="8" spans="1:10" s="14" customFormat="1" ht="39.6" customHeight="1" x14ac:dyDescent="0.25">
      <c r="A8" s="14" t="s">
        <v>1005</v>
      </c>
      <c r="B8" s="14" t="str">
        <f>'Complete List_09252026'!C170</f>
        <v>Ted Olsson</v>
      </c>
      <c r="C8" s="14" t="str">
        <f>'Complete List_09252026'!E170</f>
        <v>30 Sharon Street</v>
      </c>
      <c r="D8" s="14" t="str">
        <f>'Complete List_09252026'!F170</f>
        <v>San Francisco</v>
      </c>
      <c r="E8" s="14" t="str">
        <f>'Complete List_09252026'!G170</f>
        <v>CA</v>
      </c>
      <c r="F8" s="14" t="str">
        <f>'Complete List_09252026'!H170</f>
        <v>94114-1709</v>
      </c>
      <c r="G8" s="14" t="str">
        <f>'Complete List_09252026'!J170</f>
        <v>olssonted@yahoo.com</v>
      </c>
      <c r="H8" s="14" t="str">
        <f>'Complete List_09252026'!K170</f>
        <v>Physical</v>
      </c>
      <c r="I8" s="14" t="str">
        <f>'Complete List_09252026'!L170</f>
        <v>Castro/Upper Market, Downtown/Civic Center, Mission</v>
      </c>
    </row>
    <row r="9" spans="1:10" s="14" customFormat="1" ht="39.6" customHeight="1" x14ac:dyDescent="0.25">
      <c r="A9" s="14" t="s">
        <v>1012</v>
      </c>
      <c r="B9" s="14" t="str">
        <f>'Complete List_09252026'!C171</f>
        <v>Mark Moreno</v>
      </c>
      <c r="C9" s="14" t="str">
        <f>'Complete List_09252026'!E171</f>
        <v>77 Van Ness Avenue</v>
      </c>
      <c r="D9" s="14" t="str">
        <f>'Complete List_09252026'!F171</f>
        <v>San Francisco</v>
      </c>
      <c r="E9" s="14" t="str">
        <f>'Complete List_09252026'!G171</f>
        <v>CA</v>
      </c>
      <c r="F9" s="14">
        <f>'Complete List_09252026'!H171</f>
        <v>94102</v>
      </c>
      <c r="G9" s="14" t="str">
        <f>'Complete List_09252026'!J171</f>
        <v>mmoreno@citiscapesf.com</v>
      </c>
      <c r="H9" s="14" t="str">
        <f>'Complete List_09252026'!K171</f>
        <v>Physical</v>
      </c>
      <c r="I9" s="14" t="str">
        <f>'Complete List_09252026'!L171</f>
        <v>Downton/Civic Center</v>
      </c>
    </row>
    <row r="10" spans="1:10" s="14" customFormat="1" ht="39.6" customHeight="1" x14ac:dyDescent="0.25">
      <c r="A10" s="14" t="s">
        <v>1033</v>
      </c>
      <c r="B10" s="14" t="str">
        <f>'Complete List_09252026'!C175</f>
        <v>Adam Mayer</v>
      </c>
      <c r="C10" s="14" t="str">
        <f>'Complete List_09252026'!E175</f>
        <v>PO Box 640918</v>
      </c>
      <c r="D10" s="14" t="str">
        <f>'Complete List_09252026'!F175</f>
        <v>San Francisco</v>
      </c>
      <c r="E10" s="14" t="str">
        <f>'Complete List_09252026'!G175</f>
        <v>CA</v>
      </c>
      <c r="F10" s="14">
        <f>'Complete List_09252026'!H175</f>
        <v>94164</v>
      </c>
      <c r="G10" s="14" t="str">
        <f>'Complete List_09252026'!J175</f>
        <v>moe@middlepolk.org</v>
      </c>
      <c r="H10" s="14" t="str">
        <f>'Complete List_09252026'!K175</f>
        <v>Physical</v>
      </c>
      <c r="I10" s="14" t="str">
        <f>'Complete List_09252026'!L175</f>
        <v>Downtown/Civic Center, Nob Hill, Russian Hill</v>
      </c>
    </row>
    <row r="11" spans="1:10" s="14" customFormat="1" ht="26.45" customHeight="1" x14ac:dyDescent="0.25">
      <c r="A11" s="14" t="s">
        <v>1454</v>
      </c>
      <c r="B11" s="14" t="str">
        <f>'Complete List_09252026'!C251</f>
        <v>David Lal</v>
      </c>
      <c r="C11" s="14" t="str">
        <f>'Complete List_09252026'!E251</f>
        <v>142 S. Van Ness Ave</v>
      </c>
      <c r="D11" s="14" t="str">
        <f>'Complete List_09252026'!F251</f>
        <v>San Francisco</v>
      </c>
      <c r="E11" s="14" t="str">
        <f>'Complete List_09252026'!G251</f>
        <v>CA</v>
      </c>
      <c r="F11" s="14">
        <f>'Complete List_09252026'!H251</f>
        <v>94103</v>
      </c>
      <c r="G11" s="14" t="str">
        <f>'Complete List_09252026'!J251</f>
        <v>info@sfcitywide.org</v>
      </c>
      <c r="H11" s="14" t="str">
        <f>'Complete List_09252026'!K251</f>
        <v>Physical</v>
      </c>
      <c r="I11" s="14" t="str">
        <f>'Complete List_09252026'!L251</f>
        <v>Downtown/Civic Center, Financial District, South of Market, Treasure Island</v>
      </c>
    </row>
    <row r="12" spans="1:10" s="14" customFormat="1" ht="39.6" customHeight="1" x14ac:dyDescent="0.25">
      <c r="A12" s="14" t="s">
        <v>1551</v>
      </c>
      <c r="B12" s="14" t="str">
        <f>'Complete List_09252026'!C268</f>
        <v>Eric Lopez</v>
      </c>
      <c r="C12" s="14" t="str">
        <f>'Complete List_09252026'!E268</f>
        <v>P.O. Box 410805</v>
      </c>
      <c r="D12" s="14" t="str">
        <f>'Complete List_09252026'!F268</f>
        <v>San Francisco</v>
      </c>
      <c r="E12" s="14" t="str">
        <f>'Complete List_09252026'!G268</f>
        <v>CA</v>
      </c>
      <c r="F12" s="14">
        <f>'Complete List_09252026'!H268</f>
        <v>94141</v>
      </c>
      <c r="G12" s="14" t="str">
        <f>'Complete List_09252026'!J268</f>
        <v>somabend.na@gmail.com</v>
      </c>
      <c r="H12" s="14" t="str">
        <f>'Complete List_09252026'!K268</f>
        <v>Physical</v>
      </c>
      <c r="I12" s="14" t="str">
        <f>'Complete List_09252026'!L268</f>
        <v xml:space="preserve">Downtown/Civic Center, Mission, South of Market </v>
      </c>
    </row>
    <row r="13" spans="1:10" s="14" customFormat="1" ht="26.45" customHeight="1" x14ac:dyDescent="0.25">
      <c r="A13" s="14" t="s">
        <v>1681</v>
      </c>
      <c r="B13" s="14" t="str">
        <f>'Complete List_09252026'!C291</f>
        <v>Randy Shaw</v>
      </c>
      <c r="C13" s="14" t="str">
        <f>'Complete List_09252026'!E291</f>
        <v>126 Hyde Street</v>
      </c>
      <c r="D13" s="14" t="str">
        <f>'Complete List_09252026'!F291</f>
        <v>San Francisco</v>
      </c>
      <c r="E13" s="14" t="str">
        <f>'Complete List_09252026'!G291</f>
        <v>CA</v>
      </c>
      <c r="F13" s="14" t="str">
        <f>'Complete List_09252026'!H291</f>
        <v>94102</v>
      </c>
      <c r="G13" s="14" t="str">
        <f>'Complete List_09252026'!J291</f>
        <v>randy@thclinic.org</v>
      </c>
      <c r="H13" s="14" t="str">
        <f>'Complete List_09252026'!K291</f>
        <v>Physical</v>
      </c>
      <c r="I13" s="14" t="str">
        <f>'Complete List_09252026'!L291</f>
        <v>Downtown/Civic Center</v>
      </c>
    </row>
    <row r="14" spans="1:10" s="14" customFormat="1" ht="39.6" customHeight="1" x14ac:dyDescent="0.25">
      <c r="A14" s="14" t="s">
        <v>94</v>
      </c>
      <c r="B14" s="14" t="str">
        <f>'Complete List_09252026'!C14</f>
        <v>Michael Nulty</v>
      </c>
      <c r="C14" s="14" t="str">
        <f>'Complete List_09252026'!E14</f>
        <v>P.O. Box 420782</v>
      </c>
      <c r="D14" s="14" t="str">
        <f>'Complete List_09252026'!F14</f>
        <v>San Francisco</v>
      </c>
      <c r="E14" s="14" t="str">
        <f>'Complete List_09252026'!G14</f>
        <v>CA</v>
      </c>
      <c r="F14" s="14">
        <f>'Complete List_09252026'!H14</f>
        <v>94142</v>
      </c>
      <c r="G14" s="14" t="str">
        <f>'Complete List_09252026'!J14</f>
        <v>sf_district6@yahoo.com</v>
      </c>
      <c r="H14" s="14" t="str">
        <f>'Complete List_09252026'!K14</f>
        <v>Physical</v>
      </c>
      <c r="I14" s="14" t="str">
        <f>'Complete List_09252026'!L14</f>
        <v>Downtown/Civic Center, Financial District, Mission, Nob Hill, South of Market, Treasure Island, Western Addition</v>
      </c>
    </row>
    <row r="15" spans="1:10" s="14" customFormat="1" ht="26.45" customHeight="1" x14ac:dyDescent="0.25">
      <c r="A15" s="14" t="s">
        <v>1687</v>
      </c>
      <c r="B15" s="14" t="str">
        <f>'Complete List_09252026'!C292</f>
        <v>Curtis Bradford</v>
      </c>
      <c r="C15" s="14" t="str">
        <f>'Complete List_09252026'!E292</f>
        <v>1390 Market Street #2206</v>
      </c>
      <c r="D15" s="14" t="str">
        <f>'Complete List_09252026'!F292</f>
        <v>San Francisco</v>
      </c>
      <c r="E15" s="14" t="str">
        <f>'Complete List_09252026'!G292</f>
        <v>CA</v>
      </c>
      <c r="F15" s="14">
        <f>'Complete List_09252026'!H292</f>
        <v>94102</v>
      </c>
      <c r="G15" s="14" t="str">
        <f>'Complete List_09252026'!J292</f>
        <v>cbradford@tndc.org</v>
      </c>
      <c r="H15" s="14" t="str">
        <f>'Complete List_09252026'!K292</f>
        <v>Physical</v>
      </c>
      <c r="I15" s="14" t="str">
        <f>'Complete List_09252026'!L292</f>
        <v>Downtown/Civic Center, South of Market</v>
      </c>
    </row>
    <row r="16" spans="1:10" s="26" customFormat="1" ht="18" customHeight="1" x14ac:dyDescent="0.25">
      <c r="A16" s="68" t="s">
        <v>1836</v>
      </c>
      <c r="B16" s="69"/>
      <c r="C16" s="69"/>
      <c r="D16" s="69"/>
      <c r="E16" s="69"/>
      <c r="F16" s="69"/>
      <c r="G16" s="69"/>
      <c r="H16" s="69"/>
      <c r="I16" s="69"/>
      <c r="J16" s="28"/>
    </row>
    <row r="17" spans="1:10" s="14" customFormat="1" ht="39.6" customHeight="1" x14ac:dyDescent="0.25">
      <c r="A17" s="14" t="s">
        <v>214</v>
      </c>
      <c r="B17" s="14" t="str">
        <f>'Complete List_09252026'!C35</f>
        <v>Bilal Mahmood</v>
      </c>
      <c r="C17" s="14" t="str">
        <f>'Complete List_09252026'!E35</f>
        <v>1 Dr. Carlton B Goodlett Place, Room #244</v>
      </c>
      <c r="D17" s="14" t="str">
        <f>'Complete List_09252026'!F35</f>
        <v>San Francisco</v>
      </c>
      <c r="E17" s="14" t="str">
        <f>'Complete List_09252026'!G35</f>
        <v>CA</v>
      </c>
      <c r="F17" s="14" t="str">
        <f>'Complete List_09252026'!H35</f>
        <v>94102-4689</v>
      </c>
      <c r="G17" s="14" t="str">
        <f>'Complete List_09252026'!J35</f>
        <v xml:space="preserve">MahmoodStaff@sfgov.org; Raynell.Cooper@sfgov.org
</v>
      </c>
      <c r="H17" s="14" t="str">
        <f>'Complete List_09252026'!K35</f>
        <v>Both</v>
      </c>
      <c r="I17" s="14" t="str">
        <f>'Complete List_09252026'!L35</f>
        <v>Downtown/Civic Center, Haight Ashbury, Western Addition</v>
      </c>
    </row>
    <row r="18" spans="1:10" s="14" customFormat="1" ht="52.9" customHeight="1" x14ac:dyDescent="0.25">
      <c r="A18" s="14" t="s">
        <v>258</v>
      </c>
      <c r="B18" s="14" t="str">
        <f>'Complete List_09252026'!C43</f>
        <v>Matt Dorsey</v>
      </c>
      <c r="C18" s="14" t="str">
        <f>'Complete List_09252026'!E43</f>
        <v>1 Dr. Carlton B Goodlett Place, Room #244</v>
      </c>
      <c r="D18" s="14" t="str">
        <f>'Complete List_09252026'!F43</f>
        <v>San Francisco</v>
      </c>
      <c r="E18" s="14" t="str">
        <f>'Complete List_09252026'!G43</f>
        <v>CA</v>
      </c>
      <c r="F18" s="14" t="str">
        <f>'Complete List_09252026'!H43</f>
        <v>94102-4689</v>
      </c>
      <c r="G18" s="14" t="str">
        <f>'Complete List_09252026'!J43</f>
        <v>DorseyStaff@sfgov.org; Madison.R.Tam@sfgov.org; Bryan.Dahl@sfgov.org; Leo.Alfaro@sfgov.org</v>
      </c>
      <c r="H18" s="14" t="str">
        <f>'Complete List_09252026'!K43</f>
        <v>Both</v>
      </c>
      <c r="I18" s="14" t="str">
        <f>'Complete List_09252026'!L43</f>
        <v>Downtown/Civic Center, South of Market, Treasure Island/YBI</v>
      </c>
    </row>
    <row r="19" spans="1:10" s="14" customFormat="1" ht="26.45" customHeight="1" x14ac:dyDescent="0.25">
      <c r="A19" s="14" t="str">
        <f>'Complete List_09252026'!D71</f>
        <v>Comptons Community Land Trust</v>
      </c>
      <c r="B19" s="14" t="str">
        <f>'Complete List_09252026'!C71</f>
        <v>Chandra LaBorde</v>
      </c>
      <c r="C19" s="14" t="str">
        <f>'Complete List_09252026'!E71</f>
        <v>80 Turk St</v>
      </c>
      <c r="D19" s="14" t="str">
        <f>'Complete List_09252026'!F71</f>
        <v>San Franicsco</v>
      </c>
      <c r="E19" s="14" t="str">
        <f>'Complete List_09252026'!G71</f>
        <v>CA</v>
      </c>
      <c r="F19" s="14">
        <f>'Complete List_09252026'!H71</f>
        <v>94102</v>
      </c>
      <c r="G19" s="14" t="str">
        <f>'Complete List_09252026'!J71</f>
        <v>admin@turkxtaylor.net</v>
      </c>
      <c r="H19" s="14" t="str">
        <f>'Complete List_09252026'!K71</f>
        <v>Both</v>
      </c>
      <c r="I19" s="14" t="str">
        <f>'Complete List_09252026'!L71</f>
        <v>Downtown / Civic Center</v>
      </c>
    </row>
    <row r="20" spans="1:10" s="26" customFormat="1" ht="18" customHeight="1" x14ac:dyDescent="0.25">
      <c r="A20" s="70" t="s">
        <v>1842</v>
      </c>
      <c r="B20" s="69"/>
      <c r="C20" s="69"/>
      <c r="D20" s="69"/>
      <c r="E20" s="69"/>
      <c r="F20" s="69"/>
      <c r="G20" s="69"/>
      <c r="H20" s="69"/>
      <c r="I20" s="69"/>
      <c r="J20" s="29"/>
    </row>
    <row r="21" spans="1:10" s="14" customFormat="1" ht="39.6" customHeight="1" x14ac:dyDescent="0.25">
      <c r="A21" s="14" t="s">
        <v>767</v>
      </c>
      <c r="B21" s="14" t="str">
        <f>'Complete List_09252026'!C128</f>
        <v>Richard Johnson</v>
      </c>
      <c r="C21" s="14" t="str">
        <f>'Complete List_09252026'!E128</f>
        <v>415 Buchanan St Apt C</v>
      </c>
      <c r="D21" s="14" t="str">
        <f>'Complete List_09252026'!F128</f>
        <v>San Francisco</v>
      </c>
      <c r="E21" s="14" t="str">
        <f>'Complete List_09252026'!G128</f>
        <v>CA</v>
      </c>
      <c r="F21" s="14">
        <f>'Complete List_09252026'!H128</f>
        <v>94102</v>
      </c>
      <c r="G21" s="14" t="str">
        <f>'Complete List_09252026'!J128</f>
        <v>info@hvsafe.com</v>
      </c>
      <c r="H21" s="14" t="str">
        <f>'Complete List_09252026'!K128</f>
        <v>Electronic</v>
      </c>
      <c r="I21" s="14" t="str">
        <f>'Complete List_09252026'!L128</f>
        <v>Castro/Upper Market, Downtown/Civic Center, Mission, South of Market, Western Addition</v>
      </c>
    </row>
    <row r="22" spans="1:10" s="14" customFormat="1" ht="39.6" customHeight="1" x14ac:dyDescent="0.25">
      <c r="A22" s="14" t="s">
        <v>762</v>
      </c>
      <c r="B22" s="14" t="str">
        <f>'Complete List_09252026'!C127</f>
        <v>Ramiz Y</v>
      </c>
      <c r="C22" s="14" t="str">
        <f>'Complete List_09252026'!E127</f>
        <v>559 Hayes Street</v>
      </c>
      <c r="D22" s="14" t="str">
        <f>'Complete List_09252026'!F127</f>
        <v>San Francisco</v>
      </c>
      <c r="E22" s="14" t="str">
        <f>'Complete List_09252026'!G127</f>
        <v>CA</v>
      </c>
      <c r="F22" s="14">
        <f>'Complete List_09252026'!H127</f>
        <v>94102</v>
      </c>
      <c r="G22" s="14" t="str">
        <f>'Complete List_09252026'!J127</f>
        <v>info@hvsba.org</v>
      </c>
      <c r="H22" s="14" t="str">
        <f>'Complete List_09252026'!K127</f>
        <v>Electronic</v>
      </c>
      <c r="I22" s="14" t="str">
        <f>'Complete List_09252026'!L127</f>
        <v>Castro/Upper Market, Downtown/Civic Center, Mission, South of Market, Western Addition</v>
      </c>
    </row>
    <row r="23" spans="1:10" s="14" customFormat="1" ht="25.5" x14ac:dyDescent="0.25">
      <c r="A23" s="14" t="s">
        <v>971</v>
      </c>
      <c r="B23" s="14" t="str">
        <f>'Complete List_09252026'!C164</f>
        <v>Andrew Dunbar</v>
      </c>
      <c r="C23" s="14" t="str">
        <f>'Complete List_09252026'!E164</f>
        <v>1450 Sutter Street #525</v>
      </c>
      <c r="D23" s="14" t="str">
        <f>'Complete List_09252026'!F164</f>
        <v>San Francisco</v>
      </c>
      <c r="E23" s="14" t="str">
        <f>'Complete List_09252026'!G164</f>
        <v>CA</v>
      </c>
      <c r="F23" s="14">
        <f>'Complete List_09252026'!H164</f>
        <v>94109</v>
      </c>
      <c r="G23" s="14" t="str">
        <f>'Complete List_09252026'!J164</f>
        <v>lowerpolkneighbors@gmail.com</v>
      </c>
      <c r="H23" s="14" t="str">
        <f>'Complete List_09252026'!K164</f>
        <v>Electronic</v>
      </c>
      <c r="I23" s="14" t="str">
        <f>'Complete List_09252026'!L164</f>
        <v>Downtown/Civic Center, Nob Hill</v>
      </c>
    </row>
    <row r="24" spans="1:10" s="14" customFormat="1" ht="26.45" customHeight="1" x14ac:dyDescent="0.25">
      <c r="A24" s="14" t="s">
        <v>335</v>
      </c>
      <c r="B24" s="14" t="str">
        <f>'Complete List_09252026'!C56</f>
        <v>Marlayne Morgan</v>
      </c>
      <c r="C24" s="14" t="str">
        <f>'Complete List_09252026'!E56</f>
        <v>1200 Gough Street, #17A</v>
      </c>
      <c r="D24" s="14" t="str">
        <f>'Complete List_09252026'!F56</f>
        <v>San Francisco</v>
      </c>
      <c r="E24" s="14" t="str">
        <f>'Complete List_09252026'!G56</f>
        <v>CA</v>
      </c>
      <c r="F24" s="14">
        <f>'Complete List_09252026'!H56</f>
        <v>94109</v>
      </c>
      <c r="G24" s="14" t="str">
        <f>'Complete List_09252026'!J56</f>
        <v>marlayne16@gmail.com</v>
      </c>
      <c r="H24" s="14" t="str">
        <f>'Complete List_09252026'!K56</f>
        <v>Electronic</v>
      </c>
      <c r="I24" s="14" t="str">
        <f>'Complete List_09252026'!L56</f>
        <v>Downtown/Civic Center, Western Addition</v>
      </c>
    </row>
    <row r="25" spans="1:10" s="14" customFormat="1" ht="26.45" customHeight="1" x14ac:dyDescent="0.25">
      <c r="A25" s="14" t="s">
        <v>380</v>
      </c>
      <c r="B25" s="14" t="str">
        <f>'Complete List_09252026'!C63</f>
        <v>James Haas</v>
      </c>
      <c r="C25" s="14" t="str">
        <f>'Complete List_09252026'!E63</f>
        <v>100 Van Ness Avenue Apt 1906</v>
      </c>
      <c r="D25" s="14" t="str">
        <f>'Complete List_09252026'!F63</f>
        <v>San Francisco</v>
      </c>
      <c r="E25" s="14" t="str">
        <f>'Complete List_09252026'!G63</f>
        <v>CA</v>
      </c>
      <c r="F25" s="14">
        <f>'Complete List_09252026'!H63</f>
        <v>94102</v>
      </c>
      <c r="G25" s="14" t="str">
        <f>'Complete List_09252026'!J63</f>
        <v>JWHaasESQ@AOL.com</v>
      </c>
      <c r="H25" s="14" t="str">
        <f>'Complete List_09252026'!K63</f>
        <v>Electronic</v>
      </c>
      <c r="I25" s="14" t="str">
        <f>'Complete List_09252026'!L63</f>
        <v>Downtown/Civic Center</v>
      </c>
    </row>
    <row r="26" spans="1:10" s="14" customFormat="1" ht="55.5" customHeight="1" x14ac:dyDescent="0.25">
      <c r="A26" s="14" t="s">
        <v>756</v>
      </c>
      <c r="B26" s="14" t="str">
        <f>'Complete List_09252026'!C126</f>
        <v>Jennifer Laska</v>
      </c>
      <c r="C26" s="14" t="str">
        <f>'Complete List_09252026'!E126</f>
        <v>400 Grove Street, Suite 3</v>
      </c>
      <c r="D26" s="14" t="str">
        <f>'Complete List_09252026'!F126</f>
        <v>San Francisco</v>
      </c>
      <c r="E26" s="14" t="str">
        <f>'Complete List_09252026'!G126</f>
        <v>CA</v>
      </c>
      <c r="F26" s="14" t="str">
        <f>'Complete List_09252026'!H126</f>
        <v>94102</v>
      </c>
      <c r="G26" s="14" t="str">
        <f>'Complete List_09252026'!J126</f>
        <v>president@hayesvalleysf.org</v>
      </c>
      <c r="H26" s="14" t="str">
        <f>'Complete List_09252026'!K126</f>
        <v>Electronic</v>
      </c>
      <c r="I26" s="14" t="str">
        <f>'Complete List_09252026'!L126</f>
        <v>Castro/Upper Market, Downtown/Civic Center, Mission, South of Market, Western Addition</v>
      </c>
    </row>
    <row r="27" spans="1:10" s="14" customFormat="1" ht="43.35" customHeight="1" x14ac:dyDescent="0.25">
      <c r="A27" s="14" t="s">
        <v>1726</v>
      </c>
      <c r="B27" s="14" t="str">
        <f>'Complete List_09252026'!C299</f>
        <v>Lisa Frisch</v>
      </c>
      <c r="C27" s="14" t="str">
        <f>'Complete List_09252026'!E299</f>
        <v>291 Gearu Street, Suite 200</v>
      </c>
      <c r="D27" s="14" t="str">
        <f>'Complete List_09252026'!F299</f>
        <v>San Francisco</v>
      </c>
      <c r="E27" s="14" t="str">
        <f>'Complete List_09252026'!G299</f>
        <v>CA</v>
      </c>
      <c r="F27" s="14">
        <f>'Complete List_09252026'!H299</f>
        <v>94102</v>
      </c>
      <c r="G27" s="14" t="str">
        <f>'Complete List_09252026'!J299</f>
        <v>info@unionsquarebid.com</v>
      </c>
      <c r="H27" s="14" t="str">
        <f>'Complete List_09252026'!K299</f>
        <v>Electronic</v>
      </c>
      <c r="I27" s="14" t="str">
        <f>'Complete List_09252026'!L299</f>
        <v>Downtown/Civic Center</v>
      </c>
    </row>
    <row r="28" spans="1:10" ht="79.150000000000006" customHeight="1" x14ac:dyDescent="0.25">
      <c r="A28" s="11" t="s">
        <v>265</v>
      </c>
      <c r="B28" s="11" t="s">
        <v>264</v>
      </c>
      <c r="C28" s="11" t="s">
        <v>266</v>
      </c>
      <c r="D28" s="11" t="s">
        <v>16</v>
      </c>
      <c r="E28" s="11" t="s">
        <v>17</v>
      </c>
      <c r="F28" s="14">
        <v>94134</v>
      </c>
      <c r="G28" s="11" t="s">
        <v>268</v>
      </c>
      <c r="H28" s="11" t="s">
        <v>63</v>
      </c>
      <c r="I28" s="11" t="s">
        <v>269</v>
      </c>
      <c r="J28" s="11"/>
    </row>
    <row r="29" spans="1:10" s="14" customFormat="1" ht="39.6" customHeight="1" x14ac:dyDescent="0.25">
      <c r="A29" s="14" t="str">
        <f>'Complete List_09252026'!D53</f>
        <v>Castro LGBTQ Cultural District</v>
      </c>
      <c r="B29" s="14" t="str">
        <f>'Complete List_09252026'!C53</f>
        <v>Jesse Sanford &amp; Stephen Torres</v>
      </c>
      <c r="C29" s="14" t="str">
        <f>'Complete List_09252026'!E53</f>
        <v>1800 Market Street</v>
      </c>
      <c r="D29" s="14" t="str">
        <f>'Complete List_09252026'!F53</f>
        <v>San Francisco</v>
      </c>
      <c r="E29" s="14" t="str">
        <f>'Complete List_09252026'!G53</f>
        <v>CA</v>
      </c>
      <c r="F29" s="14">
        <f>'Complete List_09252026'!H53</f>
        <v>94102</v>
      </c>
      <c r="G29" s="14" t="str">
        <f>'Complete List_09252026'!J53</f>
        <v>landuse@castrolgbtq.org</v>
      </c>
      <c r="H29" s="14" t="str">
        <f>'Complete List_09252026'!K53</f>
        <v>Electronic</v>
      </c>
      <c r="I29" s="14" t="str">
        <f>'Complete List_09252026'!L53</f>
        <v>Bernal Heights, Castro/Upper Market, Downtown/Civic Center, Mission, Noe Valley, South of Market</v>
      </c>
    </row>
    <row r="30" spans="1:10" ht="26.45" customHeight="1" x14ac:dyDescent="0.25">
      <c r="A30" s="5" t="str">
        <f>'Complete List_09252026'!D165</f>
        <v>Lower Nob Hill Neighborhood Alliance</v>
      </c>
      <c r="B30" s="5" t="str">
        <f>'Complete List_09252026'!C165</f>
        <v>Thao Jones-Hill</v>
      </c>
      <c r="C30" s="5" t="str">
        <f>'Complete List_09252026'!E165</f>
        <v>834 Jones Street, Unit B</v>
      </c>
      <c r="D30" s="5" t="str">
        <f>'Complete List_09252026'!F165</f>
        <v>San Francisco</v>
      </c>
      <c r="E30" s="5" t="str">
        <f>'Complete List_09252026'!G165</f>
        <v>CA</v>
      </c>
      <c r="F30" s="5">
        <f>'Complete List_09252026'!H165</f>
        <v>94109</v>
      </c>
      <c r="G30" s="5" t="str">
        <f>'Complete List_09252026'!J165</f>
        <v>ec@lowernobhill.org</v>
      </c>
      <c r="H30" s="5" t="str">
        <f>'Complete List_09252026'!K165</f>
        <v>Electronic</v>
      </c>
      <c r="I30" s="5" t="str">
        <f>'Complete List_09252026'!L165</f>
        <v>Downtown/Civic Center, Nob Hill</v>
      </c>
    </row>
    <row r="31" spans="1:10" ht="52.9" customHeight="1" x14ac:dyDescent="0.25">
      <c r="A31" s="5" t="str">
        <f>'Complete List_09252026'!D177</f>
        <v>Mid-Market Neighbors</v>
      </c>
      <c r="B31" s="5" t="str">
        <f>'Complete List_09252026'!C177</f>
        <v>Chuck Obermeyer</v>
      </c>
      <c r="C31" s="5" t="str">
        <f>'Complete List_09252026'!E177</f>
        <v>30 7th Street</v>
      </c>
      <c r="D31" s="5" t="str">
        <f>'Complete List_09252026'!F177</f>
        <v>San Francisco</v>
      </c>
      <c r="E31" s="5" t="str">
        <f>'Complete List_09252026'!G177</f>
        <v>CA</v>
      </c>
      <c r="F31" s="5">
        <f>'Complete List_09252026'!H177</f>
        <v>94103</v>
      </c>
      <c r="G31" s="5" t="str">
        <f>'Complete List_09252026'!J177</f>
        <v>chuck@midmarketneighbors.org</v>
      </c>
      <c r="H31" s="5" t="str">
        <f>'Complete List_09252026'!K177</f>
        <v>Electronic</v>
      </c>
      <c r="I31" s="5" t="str">
        <f>'Complete List_09252026'!L177</f>
        <v>Castro/Upper Market, Chinatown, Downtown/Civic Center, Financial District, Nob Hill, Potrero Hill, South of Market, Western Addition</v>
      </c>
    </row>
    <row r="32" spans="1:10" ht="69.75" customHeight="1" x14ac:dyDescent="0.25">
      <c r="A32" s="5" t="str">
        <f>'Complete List_09252026'!D154</f>
        <v>Liberation Alliance for Economic and Social Change</v>
      </c>
      <c r="B32" s="5" t="str">
        <f>'Complete List_09252026'!C154</f>
        <v>Keith Pavlik</v>
      </c>
      <c r="C32" s="5" t="str">
        <f>'Complete List_09252026'!E154</f>
        <v>2969 Mission Street</v>
      </c>
      <c r="D32" s="5" t="str">
        <f>'Complete List_09252026'!F154</f>
        <v>San Francisco</v>
      </c>
      <c r="E32" s="5" t="str">
        <f>'Complete List_09252026'!G154</f>
        <v>CA</v>
      </c>
      <c r="F32" s="5">
        <f>'Complete List_09252026'!H154</f>
        <v>94110</v>
      </c>
      <c r="G32" s="5" t="str">
        <f>'Complete List_09252026'!J154</f>
        <v>info@liberationalliance.org</v>
      </c>
      <c r="H32" s="5" t="str">
        <f>'Complete List_09252026'!K154</f>
        <v>Electronic</v>
      </c>
      <c r="I32" s="5" t="str">
        <f>'Complete List_09252026'!L154</f>
        <v>Bayview, Bernal Heights, Castro/Upper Market, Chinatown, Downtown/Civic Center, Excelsior, Mission, Nob Hill, Noe Valley, Outer Mission, Potrero Hill, South of Market, Western Addition</v>
      </c>
    </row>
    <row r="33" spans="1:9" ht="26.45" customHeight="1" x14ac:dyDescent="0.25">
      <c r="A33" s="5" t="str">
        <f>'Complete List_09252026'!D288</f>
        <v>Tenderloin Land Use Committee</v>
      </c>
      <c r="B33" s="5" t="str">
        <f>'Complete List_09252026'!C288</f>
        <v>Erick Arguello</v>
      </c>
      <c r="C33" s="5" t="str">
        <f>'Complete List_09252026'!E288</f>
        <v>330 Ellis Street</v>
      </c>
      <c r="D33" s="5" t="str">
        <f>'Complete List_09252026'!F288</f>
        <v>San Francisco</v>
      </c>
      <c r="E33" s="5" t="str">
        <f>'Complete List_09252026'!G288</f>
        <v>CA</v>
      </c>
      <c r="F33" s="5">
        <f>'Complete List_09252026'!H288</f>
        <v>94102</v>
      </c>
      <c r="G33" s="5" t="str">
        <f>'Complete List_09252026'!J288</f>
        <v>earguello@glide.org</v>
      </c>
      <c r="H33" s="5" t="str">
        <f>'Complete List_09252026'!K288</f>
        <v>Electronic</v>
      </c>
      <c r="I33" s="5" t="str">
        <f>'Complete List_09252026'!L288</f>
        <v>Downtown / Civic Center</v>
      </c>
    </row>
    <row r="34" spans="1:9" s="14" customFormat="1" ht="33.75" customHeight="1" x14ac:dyDescent="0.25">
      <c r="A34" s="14" t="s">
        <v>1417</v>
      </c>
      <c r="B34" s="14" t="str">
        <f>'Complete List_09252026'!C244</f>
        <v>Sue Hestor</v>
      </c>
      <c r="C34" s="14" t="str">
        <f>'Complete List_09252026'!E244</f>
        <v>329 Highland Ave</v>
      </c>
      <c r="D34" s="14" t="str">
        <f>'Complete List_09252026'!F244</f>
        <v>San Francisco</v>
      </c>
      <c r="E34" s="14" t="str">
        <f>'Complete List_09252026'!G244</f>
        <v>CA</v>
      </c>
      <c r="F34" s="14">
        <f>'Complete List_09252026'!H244</f>
        <v>94110</v>
      </c>
      <c r="G34" s="14" t="str">
        <f>'Complete List_09252026'!J244</f>
        <v>hestor@earthlink.net</v>
      </c>
      <c r="H34" s="14" t="s">
        <v>63</v>
      </c>
      <c r="I34" s="14" t="str">
        <f>'Complete List_09252026'!L244</f>
        <v>Bernal Heights, Chinatown, Downtown/Civic Center, Mission</v>
      </c>
    </row>
  </sheetData>
  <autoFilter ref="A1:I1" xr:uid="{00000000-0009-0000-0000-000008000000}">
    <sortState xmlns:xlrd2="http://schemas.microsoft.com/office/spreadsheetml/2017/richdata2" ref="A2:I26">
      <sortCondition descending="1" ref="H1"/>
    </sortState>
  </autoFilter>
  <mergeCells count="3">
    <mergeCell ref="A16:I16"/>
    <mergeCell ref="A20:I20"/>
    <mergeCell ref="A2:I2"/>
  </mergeCells>
  <pageMargins left="0.7" right="0.7" top="0.75" bottom="0.75" header="0.3" footer="0.3"/>
  <pageSetup scale="52" orientation="landscape" horizontalDpi="4294967292" verticalDpi="429496729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J22"/>
  <sheetViews>
    <sheetView zoomScale="75" zoomScaleNormal="75" zoomScalePageLayoutView="75" workbookViewId="0">
      <selection activeCell="A22" sqref="A22:XFD22"/>
    </sheetView>
  </sheetViews>
  <sheetFormatPr defaultColWidth="8.85546875" defaultRowHeight="12.75" x14ac:dyDescent="0.25"/>
  <cols>
    <col min="1" max="1" width="20.7109375" style="5" customWidth="1"/>
    <col min="2" max="2" width="24.7109375" style="5" customWidth="1"/>
    <col min="3" max="3" width="33.140625" style="5" customWidth="1"/>
    <col min="4" max="4" width="14.85546875" style="5" customWidth="1"/>
    <col min="5" max="5" width="9.7109375" style="5" customWidth="1"/>
    <col min="6" max="6" width="10" style="8" customWidth="1"/>
    <col min="7" max="7" width="27.28515625" style="5" customWidth="1"/>
    <col min="8" max="8" width="35.28515625" style="5" customWidth="1"/>
    <col min="9" max="9" width="36.42578125" style="5" customWidth="1"/>
    <col min="10" max="10" width="8.85546875" style="5" customWidth="1"/>
    <col min="11" max="16384" width="8.85546875" style="5"/>
  </cols>
  <sheetData>
    <row r="1" spans="1:10" s="4" customFormat="1" ht="18" customHeight="1" x14ac:dyDescent="0.25">
      <c r="A1" s="4" t="s">
        <v>3</v>
      </c>
      <c r="B1" s="4" t="str">
        <f>'Complete List_09252026'!C1</f>
        <v>NAME</v>
      </c>
      <c r="C1" s="4" t="str">
        <f>'Complete List_09252026'!E1</f>
        <v>ADDRESS</v>
      </c>
      <c r="D1" s="4" t="str">
        <f>'Complete List_09252026'!F1</f>
        <v>CITY</v>
      </c>
      <c r="E1" s="4" t="str">
        <f>'Complete List_09252026'!G1</f>
        <v>STATE</v>
      </c>
      <c r="F1" s="10" t="str">
        <f>'Complete List_09252026'!H1</f>
        <v>ZIP</v>
      </c>
      <c r="G1" s="4" t="str">
        <f>'Complete List_09252026'!J1</f>
        <v>EMAIL</v>
      </c>
      <c r="H1" s="4" t="s">
        <v>10</v>
      </c>
      <c r="I1" s="4" t="str">
        <f>'Complete List_09252026'!L1</f>
        <v>NEIGHBORHOOD OF INTEREST</v>
      </c>
    </row>
    <row r="2" spans="1:10" s="26" customFormat="1" ht="18" customHeight="1" x14ac:dyDescent="0.25">
      <c r="A2" s="71" t="s">
        <v>1835</v>
      </c>
      <c r="B2" s="69"/>
      <c r="C2" s="69"/>
      <c r="D2" s="69"/>
      <c r="E2" s="69"/>
      <c r="F2" s="69"/>
      <c r="G2" s="69"/>
      <c r="H2" s="69"/>
      <c r="I2" s="69"/>
      <c r="J2" s="28"/>
    </row>
    <row r="3" spans="1:10" s="14" customFormat="1" ht="39.6" customHeight="1" x14ac:dyDescent="0.25">
      <c r="A3" s="14" t="s">
        <v>594</v>
      </c>
      <c r="B3" s="14" t="str">
        <f>'Complete List_09252026'!C98</f>
        <v>Mel Flores</v>
      </c>
      <c r="C3" s="14" t="str">
        <f>'Complete List_09252026'!E98</f>
        <v>P.O. Box 12005</v>
      </c>
      <c r="D3" s="14" t="str">
        <f>'Complete List_09252026'!F98</f>
        <v>San Francisco</v>
      </c>
      <c r="E3" s="14" t="str">
        <f>'Complete List_09252026'!G98</f>
        <v>CA</v>
      </c>
      <c r="F3" s="14">
        <f>'Complete List_09252026'!H98</f>
        <v>94112</v>
      </c>
      <c r="G3" s="14" t="str">
        <f>'Complete List_09252026'!J98</f>
        <v>melfloressf@gmail.com</v>
      </c>
      <c r="H3" s="14" t="str">
        <f>'Complete List_09252026'!K98</f>
        <v>Physical</v>
      </c>
      <c r="I3" s="14" t="str">
        <f>'Complete List_09252026'!L98</f>
        <v>Crocker Amazon, Excelsior, Ocean View, Outer Mission</v>
      </c>
    </row>
    <row r="4" spans="1:10" s="14" customFormat="1" ht="52.9" customHeight="1" x14ac:dyDescent="0.25">
      <c r="A4" s="14" t="s">
        <v>1326</v>
      </c>
      <c r="B4" s="14" t="str">
        <f>'Complete List_09252026'!C228</f>
        <v>Antonio Diaz</v>
      </c>
      <c r="C4" s="14" t="str">
        <f>'Complete List_09252026'!E228</f>
        <v>474 Valencia Street #125</v>
      </c>
      <c r="D4" s="14" t="str">
        <f>'Complete List_09252026'!F228</f>
        <v>San Francisco</v>
      </c>
      <c r="E4" s="14" t="str">
        <f>'Complete List_09252026'!G228</f>
        <v>CA</v>
      </c>
      <c r="F4" s="14" t="str">
        <f>'Complete List_09252026'!H228</f>
        <v>94103</v>
      </c>
      <c r="G4" s="14" t="str">
        <f>'Complete List_09252026'!J228</f>
        <v>info@podersf.org</v>
      </c>
      <c r="H4" s="14" t="str">
        <f>'Complete List_09252026'!K228</f>
        <v>Physical</v>
      </c>
      <c r="I4" s="14" t="str">
        <f>'Complete List_09252026'!L228</f>
        <v>Crocker Amazon, Excelsior, Mission, Ocean View, Outer Mission, South of Market</v>
      </c>
    </row>
    <row r="5" spans="1:10" s="14" customFormat="1" ht="92.45" customHeight="1" x14ac:dyDescent="0.25">
      <c r="A5" s="14" t="s">
        <v>1511</v>
      </c>
      <c r="B5" s="14" t="str">
        <f>'Complete List_09252026'!C261</f>
        <v>Francesca Panullo</v>
      </c>
      <c r="C5" s="14" t="str">
        <f>'Complete List_09252026'!E261</f>
        <v>1415 Ocean Ave</v>
      </c>
      <c r="D5" s="14" t="str">
        <f>'Complete List_09252026'!F261</f>
        <v>San Francisco</v>
      </c>
      <c r="E5" s="14" t="str">
        <f>'Complete List_09252026'!G261</f>
        <v>CA</v>
      </c>
      <c r="F5" s="14">
        <f>'Complete List_09252026'!H261</f>
        <v>94112</v>
      </c>
      <c r="G5" s="14" t="str">
        <f>'Complete List_09252026'!J261</f>
        <v>sw8644@sherwin.com</v>
      </c>
      <c r="H5" s="14" t="str">
        <f>'Complete List_09252026'!K261</f>
        <v>Physical</v>
      </c>
      <c r="I5" s="14" t="str">
        <f>'Complete List_09252026'!L261</f>
        <v>Bayview, Bernal Heights, Crocker Amazon, Diamond Heights, Excelsior, Glen Park, Inner Sunset, Lakeshore, Noe Valley, Ocean View, Outer Mission, Outer Sunset, Parkside, Potrero Hill, South Bayshore, Twin Peaks, Visitacion Valley, West of Twin Peaks</v>
      </c>
    </row>
    <row r="6" spans="1:10" s="14" customFormat="1" ht="39.6" customHeight="1" x14ac:dyDescent="0.25">
      <c r="A6" s="14" t="s">
        <v>1149</v>
      </c>
      <c r="B6" s="14" t="str">
        <f>'Complete List_09252026'!C197</f>
        <v>David Hooper</v>
      </c>
      <c r="C6" s="14" t="str">
        <f>'Complete List_09252026'!E197</f>
        <v>P.O. Box 12111</v>
      </c>
      <c r="D6" s="14" t="str">
        <f>'Complete List_09252026'!F197</f>
        <v>San Francisco</v>
      </c>
      <c r="E6" s="14" t="str">
        <f>'Complete List_09252026'!G197</f>
        <v>CA</v>
      </c>
      <c r="F6" s="14" t="str">
        <f>'Complete List_09252026'!H197</f>
        <v>94112</v>
      </c>
      <c r="G6" s="14" t="str">
        <f>'Complete List_09252026'!J197</f>
        <v>nmtiasf@gmail.com</v>
      </c>
      <c r="H6" s="14" t="str">
        <f>'Complete List_09252026'!K197</f>
        <v>Physical</v>
      </c>
      <c r="I6" s="14" t="str">
        <f>'Complete List_09252026'!L197</f>
        <v xml:space="preserve">Crocker Amazon, Excelsior, Glen Park,  Outer Mission, </v>
      </c>
    </row>
    <row r="7" spans="1:10" s="14" customFormat="1" ht="26.45" customHeight="1" x14ac:dyDescent="0.25">
      <c r="A7" s="14" t="s">
        <v>1282</v>
      </c>
      <c r="B7" s="14" t="str">
        <f>'Complete List_09252026'!C221</f>
        <v>Joelle Kenealey</v>
      </c>
      <c r="C7" s="14" t="str">
        <f>'Complete List_09252026'!E221</f>
        <v>P. O. Box 34426</v>
      </c>
      <c r="D7" s="14" t="str">
        <f>'Complete List_09252026'!F221</f>
        <v>San Francisco</v>
      </c>
      <c r="E7" s="14" t="str">
        <f>'Complete List_09252026'!G221</f>
        <v>CA</v>
      </c>
      <c r="F7" s="14">
        <f>'Complete List_09252026'!H221</f>
        <v>94134</v>
      </c>
      <c r="G7" s="14" t="str">
        <f>'Complete List_09252026'!J221</f>
        <v>sfommra@gmail.com</v>
      </c>
      <c r="H7" s="14" t="str">
        <f>'Complete List_09252026'!K221</f>
        <v>Physical</v>
      </c>
      <c r="I7" s="14" t="str">
        <f>'Complete List_09252026'!L221</f>
        <v>Excelsior, Outer Mission, Crocker Amazon, Visitacion Valley</v>
      </c>
    </row>
    <row r="8" spans="1:10" s="14" customFormat="1" ht="17.45" customHeight="1" x14ac:dyDescent="0.25">
      <c r="A8" s="68" t="s">
        <v>1836</v>
      </c>
      <c r="B8" s="72"/>
      <c r="C8" s="72"/>
      <c r="D8" s="72"/>
      <c r="E8" s="72"/>
      <c r="F8" s="72"/>
      <c r="G8" s="72"/>
      <c r="H8" s="72"/>
      <c r="I8" s="72"/>
    </row>
    <row r="9" spans="1:10" s="14" customFormat="1" ht="26.45" customHeight="1" x14ac:dyDescent="0.25">
      <c r="A9" s="14" t="s">
        <v>214</v>
      </c>
      <c r="B9" s="14" t="str">
        <f>'Complete List_09252026'!C37</f>
        <v>Chyanne Chen</v>
      </c>
      <c r="C9" s="14" t="str">
        <f>'Complete List_09252026'!E37</f>
        <v>1 Dr. Carlton B Goodlett Place, Room #244</v>
      </c>
      <c r="D9" s="14" t="str">
        <f>'Complete List_09252026'!F37</f>
        <v>San Francisco</v>
      </c>
      <c r="E9" s="14" t="str">
        <f>'Complete List_09252026'!G37</f>
        <v>CA</v>
      </c>
      <c r="F9" s="14" t="str">
        <f>'Complete List_09252026'!H37</f>
        <v>94102-4689</v>
      </c>
      <c r="G9" s="14" t="str">
        <f>'Complete List_09252026'!J37</f>
        <v>ChenStaff@sfgov.org;
Charlie.Sciammas@sfgov.org</v>
      </c>
      <c r="H9" s="14" t="str">
        <f>'Complete List_09252026'!K37</f>
        <v>Both</v>
      </c>
      <c r="I9" s="14" t="str">
        <f>'Complete List_09252026'!L37</f>
        <v>Crocker Amazon, Excelsior, Outer Mission, Visitacion Valley</v>
      </c>
    </row>
    <row r="10" spans="1:10" s="14" customFormat="1" ht="39.6" customHeight="1" x14ac:dyDescent="0.25">
      <c r="A10" s="14" t="str">
        <f>'Complete List_09252026'!D44</f>
        <v>Board of Supervisors</v>
      </c>
      <c r="B10" s="14" t="str">
        <f>'Complete List_09252026'!C44</f>
        <v>Jackie Fielder</v>
      </c>
      <c r="C10" s="14" t="str">
        <f>'Complete List_09252026'!E44</f>
        <v>1 Dr. Carlton B Goodlett Place, Room #244</v>
      </c>
      <c r="D10" s="14" t="str">
        <f>'Complete List_09252026'!F44</f>
        <v>San Francisco</v>
      </c>
      <c r="E10" s="14" t="str">
        <f>'Complete List_09252026'!G44</f>
        <v>CA</v>
      </c>
      <c r="F10" s="14" t="str">
        <f>'Complete List_09252026'!H44</f>
        <v>94102-4689</v>
      </c>
      <c r="G10" s="14" t="str">
        <f>'Complete List_09252026'!J44</f>
        <v>FielderStaff@sfgov.org;
Ana.Herrera@sfgov.org;
Preston.Kilgore@sfgov.org</v>
      </c>
      <c r="H10" s="14" t="str">
        <f>'Complete List_09252026'!K44</f>
        <v>Both</v>
      </c>
      <c r="I10" s="14" t="str">
        <f>'Complete List_09252026'!L44</f>
        <v>Bernal Heights, Excelsior, Mission, Visitacion Valley</v>
      </c>
    </row>
    <row r="11" spans="1:10" s="26" customFormat="1" ht="18" customHeight="1" x14ac:dyDescent="0.25">
      <c r="A11" s="70" t="s">
        <v>1842</v>
      </c>
      <c r="B11" s="69"/>
      <c r="C11" s="69"/>
      <c r="D11" s="69"/>
      <c r="E11" s="69"/>
      <c r="F11" s="69"/>
      <c r="G11" s="69"/>
      <c r="H11" s="69"/>
      <c r="I11" s="69"/>
      <c r="J11" s="29"/>
    </row>
    <row r="12" spans="1:10" s="14" customFormat="1" x14ac:dyDescent="0.25">
      <c r="A12" s="14" t="s">
        <v>587</v>
      </c>
      <c r="B12" s="14" t="str">
        <f>'Complete List_09252026'!C97</f>
        <v>Maribel Ramirez</v>
      </c>
      <c r="C12" s="14" t="str">
        <f>'Complete List_09252026'!E97</f>
        <v>35 San Juan Ave</v>
      </c>
      <c r="D12" s="14" t="str">
        <f>'Complete List_09252026'!F97</f>
        <v>San Francisco</v>
      </c>
      <c r="E12" s="14" t="str">
        <f>'Complete List_09252026'!G97</f>
        <v>CA</v>
      </c>
      <c r="F12" s="14">
        <f>'Complete List_09252026'!H97</f>
        <v>94112</v>
      </c>
      <c r="G12" s="14" t="str">
        <f>'Complete List_09252026'!J97</f>
        <v>maribel@eagsf.org</v>
      </c>
      <c r="H12" s="14" t="str">
        <f>'Complete List_09252026'!K97</f>
        <v>Electronic</v>
      </c>
      <c r="I12" s="14" t="str">
        <f>'Complete List_09252026'!L97</f>
        <v>Excelsior</v>
      </c>
    </row>
    <row r="13" spans="1:10" s="14" customFormat="1" ht="26.45" customHeight="1" x14ac:dyDescent="0.25">
      <c r="A13" s="14" t="s">
        <v>342</v>
      </c>
      <c r="B13" s="14" t="str">
        <f>'Complete List_09252026'!C57</f>
        <v>CNIA President</v>
      </c>
      <c r="C13" s="14" t="str">
        <f>'Complete List_09252026'!E57</f>
        <v>311 Foote Ave</v>
      </c>
      <c r="D13" s="14" t="str">
        <f>'Complete List_09252026'!F57</f>
        <v>San Francisco</v>
      </c>
      <c r="E13" s="14" t="str">
        <f>'Complete List_09252026'!G57</f>
        <v>CA</v>
      </c>
      <c r="F13" s="14" t="str">
        <f>'Complete List_09252026'!H57</f>
        <v>94112</v>
      </c>
      <c r="G13" s="14" t="str">
        <f>'Complete List_09252026'!J57</f>
        <v xml:space="preserve">cayugaimprovement@gmail.com </v>
      </c>
      <c r="H13" s="14" t="str">
        <f>'Complete List_09252026'!K57</f>
        <v>Electronic</v>
      </c>
      <c r="I13" s="14" t="str">
        <f>'Complete List_09252026'!L57</f>
        <v>Excelsior, Outer Mission</v>
      </c>
    </row>
    <row r="14" spans="1:10" s="14" customFormat="1" ht="26.45" customHeight="1" x14ac:dyDescent="0.25">
      <c r="A14" s="14" t="s">
        <v>655</v>
      </c>
      <c r="B14" s="14" t="str">
        <f>'Complete List_09252026'!C108</f>
        <v>C. Weibel</v>
      </c>
      <c r="C14" s="14">
        <f>'Complete List_09252026'!E108</f>
        <v>0</v>
      </c>
      <c r="D14" s="14">
        <f>'Complete List_09252026'!F108</f>
        <v>0</v>
      </c>
      <c r="E14" s="14">
        <f>'Complete List_09252026'!G108</f>
        <v>0</v>
      </c>
      <c r="F14" s="14">
        <f>'Complete List_09252026'!H108</f>
        <v>0</v>
      </c>
      <c r="G14" s="14" t="str">
        <f>'Complete List_09252026'!J108</f>
        <v>havelockstreetbridge@gmail.com</v>
      </c>
      <c r="H14" s="14" t="str">
        <f>'Complete List_09252026'!K108</f>
        <v>Electronic</v>
      </c>
      <c r="I14" s="14" t="str">
        <f>'Complete List_09252026'!L108</f>
        <v xml:space="preserve">Excelsior, Outer Mission </v>
      </c>
    </row>
    <row r="15" spans="1:10" s="14" customFormat="1" ht="39.6" customHeight="1" x14ac:dyDescent="0.25">
      <c r="A15" s="14" t="s">
        <v>1085</v>
      </c>
      <c r="B15" s="14" t="str">
        <f>'Complete List_09252026'!C185</f>
        <v xml:space="preserve">Jessica Rubio </v>
      </c>
      <c r="C15" s="14" t="str">
        <f>'Complete List_09252026'!E185</f>
        <v>2301 Mission Street #301</v>
      </c>
      <c r="D15" s="14" t="str">
        <f>'Complete List_09252026'!F185</f>
        <v>San Francisco</v>
      </c>
      <c r="E15" s="14" t="str">
        <f>'Complete List_09252026'!G185</f>
        <v>CA</v>
      </c>
      <c r="F15" s="14" t="str">
        <f>'Complete List_09252026'!H185</f>
        <v>94110</v>
      </c>
      <c r="G15" s="14" t="str">
        <f>'Complete List_09252026'!J185</f>
        <v>jrubio@medasf.org</v>
      </c>
      <c r="H15" s="14" t="str">
        <f>'Complete List_09252026'!K185</f>
        <v>Electronic</v>
      </c>
      <c r="I15" s="14" t="str">
        <f>'Complete List_09252026'!L185</f>
        <v>Excelsior, Mission, Outer Mission</v>
      </c>
    </row>
    <row r="16" spans="1:10" s="14" customFormat="1" ht="26.45" customHeight="1" x14ac:dyDescent="0.25">
      <c r="A16" s="14" t="s">
        <v>1339</v>
      </c>
      <c r="B16" s="14" t="str">
        <f>'Complete List_09252026'!C230</f>
        <v>Maggie Weis</v>
      </c>
      <c r="C16" s="14" t="str">
        <f>'Complete List_09252026'!E230</f>
        <v>2555 San Bruno Avenue</v>
      </c>
      <c r="D16" s="14" t="str">
        <f>'Complete List_09252026'!F230</f>
        <v>San Francisco</v>
      </c>
      <c r="E16" s="14" t="str">
        <f>'Complete List_09252026'!G230</f>
        <v>CA</v>
      </c>
      <c r="F16" s="14">
        <f>'Complete List_09252026'!H230</f>
        <v>94134</v>
      </c>
      <c r="G16" s="14" t="str">
        <f>'Complete List_09252026'!J230</f>
        <v>hello@portolasf.org</v>
      </c>
      <c r="H16" s="14" t="str">
        <f>'Complete List_09252026'!K230</f>
        <v>Electronic</v>
      </c>
      <c r="I16" s="14" t="str">
        <f>'Complete List_09252026'!L230</f>
        <v>Excelsior</v>
      </c>
    </row>
    <row r="17" spans="1:10" ht="79.150000000000006" customHeight="1" x14ac:dyDescent="0.25">
      <c r="A17" s="11" t="s">
        <v>265</v>
      </c>
      <c r="B17" s="11" t="s">
        <v>264</v>
      </c>
      <c r="C17" s="11" t="s">
        <v>266</v>
      </c>
      <c r="D17" s="11" t="s">
        <v>16</v>
      </c>
      <c r="E17" s="11" t="s">
        <v>17</v>
      </c>
      <c r="F17" s="14">
        <v>94134</v>
      </c>
      <c r="G17" s="11" t="s">
        <v>268</v>
      </c>
      <c r="H17" s="11" t="s">
        <v>63</v>
      </c>
      <c r="I17" s="11" t="s">
        <v>269</v>
      </c>
      <c r="J17" s="11"/>
    </row>
    <row r="18" spans="1:10" ht="72" customHeight="1" x14ac:dyDescent="0.25">
      <c r="A18" s="5" t="str">
        <f>'Complete List_09252026'!D154</f>
        <v>Liberation Alliance for Economic and Social Change</v>
      </c>
      <c r="B18" s="5" t="str">
        <f>'Complete List_09252026'!C154</f>
        <v>Keith Pavlik</v>
      </c>
      <c r="C18" s="5" t="str">
        <f>'Complete List_09252026'!E154</f>
        <v>2969 Mission Street</v>
      </c>
      <c r="D18" s="5" t="str">
        <f>'Complete List_09252026'!F154</f>
        <v>San Francisco</v>
      </c>
      <c r="E18" s="5" t="str">
        <f>'Complete List_09252026'!G154</f>
        <v>CA</v>
      </c>
      <c r="F18" s="5">
        <f>'Complete List_09252026'!H154</f>
        <v>94110</v>
      </c>
      <c r="G18" s="5" t="str">
        <f>'Complete List_09252026'!J154</f>
        <v>info@liberationalliance.org</v>
      </c>
      <c r="H18" s="5" t="str">
        <f>'Complete List_09252026'!K154</f>
        <v>Electronic</v>
      </c>
      <c r="I18" s="5" t="str">
        <f>'Complete List_09252026'!L154</f>
        <v>Bayview, Bernal Heights, Castro/Upper Market, Chinatown, Downtown/Civic Center, Excelsior, Mission, Nob Hill, Noe Valley, Outer Mission, Potrero Hill, South of Market, Western Addition</v>
      </c>
    </row>
    <row r="19" spans="1:10" s="11" customFormat="1" ht="27" customHeight="1" x14ac:dyDescent="0.25">
      <c r="A19" s="11" t="str">
        <f>'Complete List_09252026'!D216</f>
        <v>OMI Cultural Participation Project</v>
      </c>
      <c r="B19" s="11" t="str">
        <f>'Complete List_09252026'!C216</f>
        <v>Maurice Rivers</v>
      </c>
      <c r="C19" s="5" t="str">
        <f>'Complete List_09252026'!E216</f>
        <v xml:space="preserve">P.O. Box 12263 </v>
      </c>
      <c r="D19" s="11" t="str">
        <f>'Complete List_09252026'!F216</f>
        <v>San Francisco</v>
      </c>
      <c r="E19" s="11" t="str">
        <f>'Complete List_09252026'!G216</f>
        <v>CA</v>
      </c>
      <c r="F19" s="11">
        <f>'Complete List_09252026'!H216</f>
        <v>94112</v>
      </c>
      <c r="G19" s="11" t="str">
        <f>'Complete List_09252026'!J216</f>
        <v>jumpstreet1983@gmail.com</v>
      </c>
      <c r="H19" s="11" t="str">
        <f>'Complete List_09252026'!K216</f>
        <v>Electronic</v>
      </c>
      <c r="I19" s="11" t="str">
        <f>'Complete List_09252026'!L216</f>
        <v>Crocker Amazon, Excelsior, Ocean View, Outer Mission</v>
      </c>
    </row>
    <row r="20" spans="1:10" ht="26.45" customHeight="1" x14ac:dyDescent="0.25">
      <c r="A20" s="5" t="str">
        <f>'Complete List_09252026'!D33</f>
        <v>Better Housing Policies</v>
      </c>
      <c r="B20" s="5" t="str">
        <f>'Complete List_09252026'!C33</f>
        <v>Josephine Zhao</v>
      </c>
      <c r="C20" s="5" t="str">
        <f>'Complete List_09252026'!E33</f>
        <v>945 Taraval Street</v>
      </c>
      <c r="D20" s="5" t="str">
        <f>'Complete List_09252026'!F33</f>
        <v>San Francisco</v>
      </c>
      <c r="E20" s="5" t="str">
        <f>'Complete List_09252026'!G33</f>
        <v>CA</v>
      </c>
      <c r="F20" s="5">
        <f>'Complete List_09252026'!H33</f>
        <v>94116</v>
      </c>
      <c r="G20" s="5" t="str">
        <f>'Complete List_09252026'!J33</f>
        <v>info@betterhousingpolicies.org</v>
      </c>
      <c r="H20" s="5" t="str">
        <f>'Complete List_09252026'!K33</f>
        <v>Electronic</v>
      </c>
      <c r="I20" s="5" t="str">
        <f>'Complete List_09252026'!L33</f>
        <v>Excelsior, Outer Richmond, Outer Sunset, Parkside, Visitacion Valley</v>
      </c>
    </row>
    <row r="21" spans="1:10" s="14" customFormat="1" ht="39.6" customHeight="1" x14ac:dyDescent="0.25">
      <c r="A21" s="14" t="s">
        <v>1259</v>
      </c>
      <c r="B21" s="14" t="str">
        <f>'Complete List_09252026'!C217</f>
        <v>Anietie Ekanem</v>
      </c>
      <c r="C21" s="14" t="str">
        <f>'Complete List_09252026'!E217</f>
        <v>5800 3rd Street #1320</v>
      </c>
      <c r="D21" s="14" t="str">
        <f>'Complete List_09252026'!F217</f>
        <v>San Francisco</v>
      </c>
      <c r="E21" s="14" t="str">
        <f>'Complete List_09252026'!G217</f>
        <v>CA</v>
      </c>
      <c r="F21" s="14">
        <f>'Complete List_09252026'!H217</f>
        <v>94124</v>
      </c>
      <c r="G21" s="14" t="str">
        <f>'Complete List_09252026'!J217</f>
        <v>sfplanningdepartment@onebayview.com
aekanem@onebayview.com</v>
      </c>
      <c r="H21" s="14" t="str">
        <f>'Complete List_09252026'!K217</f>
        <v>Electronic</v>
      </c>
      <c r="I21" s="14" t="str">
        <f>'Complete List_09252026'!L217</f>
        <v>Bayview, Crocker Amazon, Excelsior, Ocean View, Potrero Hill, Visitacion Valley</v>
      </c>
    </row>
    <row r="22" spans="1:10" ht="38.25" x14ac:dyDescent="0.25">
      <c r="A22" s="5" t="str">
        <f>'Complete List_09252026'!D146</f>
        <v>Keep Crocker Real</v>
      </c>
      <c r="B22" s="5" t="str">
        <f>'Complete List_09252026'!C146</f>
        <v>KC Real</v>
      </c>
      <c r="C22" s="5">
        <f>'Complete List_09252026'!E146</f>
        <v>0</v>
      </c>
      <c r="D22" s="5" t="str">
        <f>'Complete List_09252026'!F146</f>
        <v>San Francisco</v>
      </c>
      <c r="E22" s="5" t="str">
        <f>'Complete List_09252026'!G146</f>
        <v>CA</v>
      </c>
      <c r="F22" s="5">
        <f>'Complete List_09252026'!H146</f>
        <v>94112</v>
      </c>
      <c r="G22" s="5" t="str">
        <f>'Complete List_09252026'!J146</f>
        <v>hello@keepcrockerreal.com</v>
      </c>
      <c r="H22" s="5" t="str">
        <f>'Complete List_09252026'!K146</f>
        <v>Electronic</v>
      </c>
      <c r="I22" s="5" t="str">
        <f>'Complete List_09252026'!L146</f>
        <v>Bayview, Crocker Amazon, Excelsior, Glen Park, Outer Mission, Visitacion Valley</v>
      </c>
    </row>
  </sheetData>
  <autoFilter ref="A1:I1" xr:uid="{00000000-0009-0000-0000-000009000000}">
    <sortState xmlns:xlrd2="http://schemas.microsoft.com/office/spreadsheetml/2017/richdata2" ref="A2:I14">
      <sortCondition descending="1" ref="H1"/>
    </sortState>
  </autoFilter>
  <mergeCells count="3">
    <mergeCell ref="A8:I8"/>
    <mergeCell ref="A2:I2"/>
    <mergeCell ref="A11:I11"/>
  </mergeCells>
  <pageMargins left="0.7" right="0.7" top="0.75" bottom="0.75" header="0.3" footer="0.3"/>
  <pageSetup scale="52"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J22"/>
  <sheetViews>
    <sheetView zoomScale="75" zoomScaleNormal="75" zoomScalePageLayoutView="75" workbookViewId="0">
      <selection activeCell="A10" sqref="A10"/>
    </sheetView>
  </sheetViews>
  <sheetFormatPr defaultColWidth="8.85546875" defaultRowHeight="12.75" x14ac:dyDescent="0.25"/>
  <cols>
    <col min="1" max="1" width="20.7109375" style="5" customWidth="1"/>
    <col min="2" max="2" width="24.7109375" style="5" customWidth="1"/>
    <col min="3" max="3" width="33.140625" style="5" customWidth="1"/>
    <col min="4" max="4" width="14.85546875" style="5" customWidth="1"/>
    <col min="5" max="5" width="9.7109375" style="5" customWidth="1"/>
    <col min="6" max="6" width="10" style="8" customWidth="1"/>
    <col min="7" max="7" width="27.28515625" style="5" customWidth="1"/>
    <col min="8" max="8" width="35.28515625" style="5" customWidth="1"/>
    <col min="9" max="9" width="36.42578125" style="5" customWidth="1"/>
    <col min="10" max="10" width="8.85546875" style="5" customWidth="1"/>
    <col min="11" max="16384" width="8.85546875" style="5"/>
  </cols>
  <sheetData>
    <row r="1" spans="1:10" s="4" customFormat="1" ht="18" customHeight="1" x14ac:dyDescent="0.25">
      <c r="A1" s="4" t="s">
        <v>3</v>
      </c>
      <c r="B1" s="4" t="str">
        <f>'Complete List_09252026'!C1</f>
        <v>NAME</v>
      </c>
      <c r="C1" s="4" t="str">
        <f>'Complete List_09252026'!E1</f>
        <v>ADDRESS</v>
      </c>
      <c r="D1" s="4" t="str">
        <f>'Complete List_09252026'!F1</f>
        <v>CITY</v>
      </c>
      <c r="E1" s="4" t="str">
        <f>'Complete List_09252026'!G1</f>
        <v>STATE</v>
      </c>
      <c r="F1" s="10" t="str">
        <f>'Complete List_09252026'!H1</f>
        <v>ZIP</v>
      </c>
      <c r="G1" s="4" t="str">
        <f>'Complete List_09252026'!J1</f>
        <v>EMAIL</v>
      </c>
      <c r="H1" s="4" t="s">
        <v>10</v>
      </c>
      <c r="I1" s="4" t="str">
        <f>'Complete List_09252026'!L1</f>
        <v>NEIGHBORHOOD OF INTEREST</v>
      </c>
    </row>
    <row r="2" spans="1:10" s="26" customFormat="1" ht="18" customHeight="1" x14ac:dyDescent="0.25">
      <c r="A2" s="71" t="s">
        <v>1835</v>
      </c>
      <c r="B2" s="69"/>
      <c r="C2" s="69"/>
      <c r="D2" s="69"/>
      <c r="E2" s="69"/>
      <c r="F2" s="69"/>
      <c r="G2" s="69"/>
      <c r="H2" s="69"/>
      <c r="I2" s="69"/>
      <c r="J2" s="28"/>
    </row>
    <row r="3" spans="1:10" s="14" customFormat="1" ht="26.45" customHeight="1" x14ac:dyDescent="0.25">
      <c r="A3" s="14" t="s">
        <v>1843</v>
      </c>
      <c r="B3" s="14" t="str">
        <f>'Complete List_09252026'!C10</f>
        <v>Jeffrey Kwong</v>
      </c>
      <c r="C3" s="14" t="str">
        <f>'Complete List_09252026'!E10</f>
        <v>1754 Hyde Street</v>
      </c>
      <c r="D3" s="14" t="str">
        <f>'Complete List_09252026'!F10</f>
        <v>San Francisco</v>
      </c>
      <c r="E3" s="14" t="str">
        <f>'Complete List_09252026'!G10</f>
        <v>CA</v>
      </c>
      <c r="F3" s="14">
        <f>'Complete List_09252026'!H10</f>
        <v>94106</v>
      </c>
      <c r="G3" s="14" t="str">
        <f>'Complete List_09252026'!J10</f>
        <v>cardinalsf@gmail.com</v>
      </c>
      <c r="H3" s="14" t="str">
        <f>'Complete List_09252026'!K10</f>
        <v>Physical</v>
      </c>
      <c r="I3" s="14" t="str">
        <f>'Complete List_09252026'!L10</f>
        <v>Chinatown, Downtown Civic Center, Financial District, Nob Hill, North Beach</v>
      </c>
    </row>
    <row r="4" spans="1:10" s="14" customFormat="1" ht="52.9" customHeight="1" x14ac:dyDescent="0.25">
      <c r="A4" s="14" t="s">
        <v>783</v>
      </c>
      <c r="B4" s="14" t="str">
        <f>'Complete List_09252026'!C131</f>
        <v>Antonio Flores</v>
      </c>
      <c r="C4" s="14" t="str">
        <f>'Complete List_09252026'!E131</f>
        <v>545 Post Street</v>
      </c>
      <c r="D4" s="14" t="str">
        <f>'Complete List_09252026'!F131</f>
        <v>San Francisco</v>
      </c>
      <c r="E4" s="14" t="str">
        <f>'Complete List_09252026'!G131</f>
        <v>CA</v>
      </c>
      <c r="F4" s="14">
        <f>'Complete List_09252026'!H131</f>
        <v>94102</v>
      </c>
      <c r="G4" s="14" t="str">
        <f>'Complete List_09252026'!J131</f>
        <v>antonio.flores@viceroyhotelgroup.com</v>
      </c>
      <c r="H4" s="14" t="str">
        <f>'Complete List_09252026'!K131</f>
        <v>Physical</v>
      </c>
      <c r="I4" s="14" t="str">
        <f>'Complete List_09252026'!L131</f>
        <v>Castro/Upper Market, Chinatown, Downtown/Civic Center, Financial District, Nob Hill, North Beach, South of Market, Treasure Island</v>
      </c>
    </row>
    <row r="5" spans="1:10" s="14" customFormat="1" ht="26.45" customHeight="1" x14ac:dyDescent="0.25">
      <c r="A5" s="14" t="s">
        <v>830</v>
      </c>
      <c r="B5" s="14" t="str">
        <f>'Complete List_09252026'!C139</f>
        <v>Sarah Stocking</v>
      </c>
      <c r="C5" s="14" t="str">
        <f>'Complete List_09252026'!E139</f>
        <v>368 Jackson Street</v>
      </c>
      <c r="D5" s="14" t="str">
        <f>'Complete List_09252026'!F139</f>
        <v>San Francisco</v>
      </c>
      <c r="E5" s="14" t="str">
        <f>'Complete List_09252026'!G139</f>
        <v>CA</v>
      </c>
      <c r="F5" s="14">
        <f>'Complete List_09252026'!H139</f>
        <v>94111</v>
      </c>
      <c r="G5" s="14" t="str">
        <f>'Complete List_09252026'!J139</f>
        <v>sarah@sarahstocking.com</v>
      </c>
      <c r="H5" s="14" t="str">
        <f>'Complete List_09252026'!K139</f>
        <v>Physical</v>
      </c>
      <c r="I5" s="14" t="str">
        <f>'Complete List_09252026'!L139</f>
        <v xml:space="preserve">Chinatown, Financial District, North Beach  </v>
      </c>
    </row>
    <row r="6" spans="1:10" s="14" customFormat="1" ht="26.45" customHeight="1" x14ac:dyDescent="0.25">
      <c r="A6" s="14" t="s">
        <v>1266</v>
      </c>
      <c r="B6" s="14" t="str">
        <f>'Complete List_09252026'!C218</f>
        <v>Ethan Hough</v>
      </c>
      <c r="C6" s="14" t="str">
        <f>'Complete List_09252026'!E218</f>
        <v>16 Jessie Street Unit 301</v>
      </c>
      <c r="D6" s="14" t="str">
        <f>'Complete List_09252026'!F218</f>
        <v>San Francisco</v>
      </c>
      <c r="E6" s="14" t="str">
        <f>'Complete List_09252026'!G218</f>
        <v>CA</v>
      </c>
      <c r="F6" s="14">
        <f>'Complete List_09252026'!H218</f>
        <v>94105</v>
      </c>
      <c r="G6" s="14" t="str">
        <f>'Complete List_09252026'!J218</f>
        <v>ethanhough@gmail.com</v>
      </c>
      <c r="H6" s="14" t="str">
        <f>'Complete List_09252026'!K218</f>
        <v>Physical</v>
      </c>
      <c r="I6" s="14" t="str">
        <f>'Complete List_09252026'!L218</f>
        <v>Financial District, South of Market</v>
      </c>
    </row>
    <row r="7" spans="1:10" s="14" customFormat="1" ht="26.45" customHeight="1" x14ac:dyDescent="0.25">
      <c r="A7" s="14" t="s">
        <v>1454</v>
      </c>
      <c r="B7" s="14" t="str">
        <f>'Complete List_09252026'!C251</f>
        <v>David Lal</v>
      </c>
      <c r="C7" s="14" t="str">
        <f>'Complete List_09252026'!E251</f>
        <v>142 S. Van Ness Ave</v>
      </c>
      <c r="D7" s="14" t="str">
        <f>'Complete List_09252026'!F251</f>
        <v>San Francisco</v>
      </c>
      <c r="E7" s="14" t="str">
        <f>'Complete List_09252026'!G251</f>
        <v>CA</v>
      </c>
      <c r="F7" s="14">
        <f>'Complete List_09252026'!H251</f>
        <v>94103</v>
      </c>
      <c r="G7" s="14" t="str">
        <f>'Complete List_09252026'!J251</f>
        <v>info@sfcitywide.org</v>
      </c>
      <c r="H7" s="14" t="str">
        <f>'Complete List_09252026'!K251</f>
        <v>Physical</v>
      </c>
      <c r="I7" s="14" t="str">
        <f>'Complete List_09252026'!L251</f>
        <v>Downtown/Civic Center, Financial District, South of Market, Treasure Island</v>
      </c>
    </row>
    <row r="8" spans="1:10" s="14" customFormat="1" ht="26.45" customHeight="1" x14ac:dyDescent="0.25">
      <c r="A8" s="14" t="s">
        <v>1633</v>
      </c>
      <c r="B8" s="14" t="str">
        <f>'Complete List_09252026'!C283</f>
        <v>Marc Bruno</v>
      </c>
      <c r="C8" s="14" t="str">
        <f>'Complete List_09252026'!E283</f>
        <v>666 Filbert Street</v>
      </c>
      <c r="D8" s="14" t="str">
        <f>'Complete List_09252026'!F283</f>
        <v>San Francisco</v>
      </c>
      <c r="E8" s="14" t="str">
        <f>'Complete List_09252026'!G283</f>
        <v>CA</v>
      </c>
      <c r="F8" s="14">
        <f>'Complete List_09252026'!H283</f>
        <v>94133</v>
      </c>
      <c r="G8" s="14" t="str">
        <f>'Complete List_09252026'!J283</f>
        <v>marcabruno@yahoo.com</v>
      </c>
      <c r="H8" s="14" t="str">
        <f>'Complete List_09252026'!K283</f>
        <v>Physical</v>
      </c>
      <c r="I8" s="14" t="str">
        <f>'Complete List_09252026'!L283</f>
        <v>Chinatown, Financial District, Nob Hill, North Beach, Russian Hill</v>
      </c>
    </row>
    <row r="9" spans="1:10" s="14" customFormat="1" ht="26.45" customHeight="1" x14ac:dyDescent="0.25">
      <c r="A9" s="14" t="s">
        <v>1693</v>
      </c>
      <c r="B9" s="14" t="str">
        <f>'Complete List_09252026'!C293</f>
        <v>Anna Harvey</v>
      </c>
      <c r="C9" s="14" t="str">
        <f>'Complete List_09252026'!E293</f>
        <v>425 Mission Street,  Suite 250</v>
      </c>
      <c r="D9" s="14" t="str">
        <f>'Complete List_09252026'!F293</f>
        <v>San Francisco</v>
      </c>
      <c r="E9" s="14" t="str">
        <f>'Complete List_09252026'!G293</f>
        <v>CA</v>
      </c>
      <c r="F9" s="14">
        <f>'Complete List_09252026'!H293</f>
        <v>94105</v>
      </c>
      <c r="G9" s="14" t="str">
        <f>'Complete List_09252026'!J293</f>
        <v>aharvey@tjpa.org
lmadjuswu@tjpa.org</v>
      </c>
      <c r="H9" s="14" t="str">
        <f>'Complete List_09252026'!K293</f>
        <v>Electronic</v>
      </c>
      <c r="I9" s="14" t="str">
        <f>'Complete List_09252026'!L293</f>
        <v>Financial District, South of Market</v>
      </c>
    </row>
    <row r="10" spans="1:10" s="14" customFormat="1" ht="39.6" customHeight="1" x14ac:dyDescent="0.25">
      <c r="A10" s="14" t="s">
        <v>94</v>
      </c>
      <c r="B10" s="14" t="str">
        <f>'Complete List_09252026'!C14</f>
        <v>Michael Nulty</v>
      </c>
      <c r="C10" s="14" t="str">
        <f>'Complete List_09252026'!E14</f>
        <v>P.O. Box 420782</v>
      </c>
      <c r="D10" s="14" t="str">
        <f>'Complete List_09252026'!F14</f>
        <v>San Francisco</v>
      </c>
      <c r="E10" s="14" t="str">
        <f>'Complete List_09252026'!G14</f>
        <v>CA</v>
      </c>
      <c r="F10" s="14">
        <f>'Complete List_09252026'!H14</f>
        <v>94142</v>
      </c>
      <c r="G10" s="14" t="str">
        <f>'Complete List_09252026'!J14</f>
        <v>sf_district6@yahoo.com</v>
      </c>
      <c r="H10" s="14" t="str">
        <f>'Complete List_09252026'!K14</f>
        <v>Physical</v>
      </c>
      <c r="I10" s="14" t="str">
        <f>'Complete List_09252026'!L14</f>
        <v>Downtown/Civic Center, Financial District, Mission, Nob Hill, South of Market, Treasure Island, Western Addition</v>
      </c>
    </row>
    <row r="11" spans="1:10" s="14" customFormat="1" ht="17.45" customHeight="1" x14ac:dyDescent="0.25">
      <c r="A11" s="68" t="s">
        <v>1836</v>
      </c>
      <c r="B11" s="72"/>
      <c r="C11" s="72"/>
      <c r="D11" s="72"/>
      <c r="E11" s="72"/>
      <c r="F11" s="72"/>
      <c r="G11" s="72"/>
      <c r="H11" s="72"/>
      <c r="I11" s="72"/>
    </row>
    <row r="12" spans="1:10" ht="66" customHeight="1" x14ac:dyDescent="0.25">
      <c r="A12" s="14" t="s">
        <v>214</v>
      </c>
      <c r="B12" s="14" t="str">
        <f>'Complete List_09252026'!C36</f>
        <v>Danny Sauter</v>
      </c>
      <c r="C12" s="14" t="str">
        <f>'Complete List_09252026'!E36</f>
        <v>1 Dr. Carlton B Goodlett Place, Room #244</v>
      </c>
      <c r="D12" s="14" t="str">
        <f>'Complete List_09252026'!F36</f>
        <v>San Francisco</v>
      </c>
      <c r="E12" s="14" t="str">
        <f>'Complete List_09252026'!G36</f>
        <v>CA</v>
      </c>
      <c r="F12" s="14" t="str">
        <f>'Complete List_09252026'!H36</f>
        <v>94102-4689</v>
      </c>
      <c r="G12" s="14" t="str">
        <f>'Complete List_09252026'!J36</f>
        <v>SauterStaff@sfgov.org;
Michelle.Andrews@sfgov.org; Amy.Lee5@sfgov.org; tita.bell@sfgov.org; tomio.nagano@sfgov.org</v>
      </c>
      <c r="H12" s="14" t="str">
        <f>'Complete List_09252026'!K36</f>
        <v>Both</v>
      </c>
      <c r="I12" s="14" t="str">
        <f>'Complete List_09252026'!L36</f>
        <v>Chinatown, Financial District, Nob Hill, North Beach, Russian Hill</v>
      </c>
      <c r="J12" s="11"/>
    </row>
    <row r="13" spans="1:10" s="26" customFormat="1" ht="18" customHeight="1" x14ac:dyDescent="0.25">
      <c r="A13" s="70" t="s">
        <v>1842</v>
      </c>
      <c r="B13" s="69"/>
      <c r="C13" s="69"/>
      <c r="D13" s="69"/>
      <c r="E13" s="69"/>
      <c r="F13" s="69"/>
      <c r="G13" s="69"/>
      <c r="H13" s="69"/>
      <c r="I13" s="69"/>
      <c r="J13" s="29"/>
    </row>
    <row r="14" spans="1:10" s="14" customFormat="1" ht="39.6" customHeight="1" x14ac:dyDescent="0.25">
      <c r="A14" s="14" t="s">
        <v>151</v>
      </c>
      <c r="B14" s="14" t="str">
        <f>'Complete List_09252026'!C23</f>
        <v>Diana Taylor</v>
      </c>
      <c r="C14" s="14" t="str">
        <f>'Complete List_09252026'!E23</f>
        <v>P.O. Box 2045</v>
      </c>
      <c r="D14" s="14" t="str">
        <f>'Complete List_09252026'!F23</f>
        <v>San Francisco</v>
      </c>
      <c r="E14" s="14" t="str">
        <f>'Complete List_09252026'!G23</f>
        <v>CA</v>
      </c>
      <c r="F14" s="14">
        <f>'Complete List_09252026'!H23</f>
        <v>94126</v>
      </c>
      <c r="G14" s="14" t="str">
        <f>'Complete List_09252026'!J23</f>
        <v>bcna@bcnasf.org</v>
      </c>
      <c r="H14" s="14" t="str">
        <f>'Complete List_09252026'!K23</f>
        <v>Electronic</v>
      </c>
      <c r="I14" s="14" t="str">
        <f>'Complete List_09252026'!L23</f>
        <v>Financial District, North Beach</v>
      </c>
    </row>
    <row r="15" spans="1:10" s="14" customFormat="1" ht="26.45" customHeight="1" x14ac:dyDescent="0.25">
      <c r="A15" s="14" t="s">
        <v>692</v>
      </c>
      <c r="B15" s="14" t="str">
        <f>'Complete List_09252026'!C115</f>
        <v>Alec Bash</v>
      </c>
      <c r="C15" s="14" t="str">
        <f>'Complete List_09252026'!E115</f>
        <v>155 Jackson Street Apt. 2501</v>
      </c>
      <c r="D15" s="14" t="str">
        <f>'Complete List_09252026'!F115</f>
        <v>San Francisco</v>
      </c>
      <c r="E15" s="14" t="str">
        <f>'Complete List_09252026'!G115</f>
        <v>CA</v>
      </c>
      <c r="F15" s="14">
        <f>'Complete List_09252026'!H115</f>
        <v>94111</v>
      </c>
      <c r="G15" s="14" t="str">
        <f>'Complete List_09252026'!J115</f>
        <v>alec.bash@gmail.com</v>
      </c>
      <c r="H15" s="14" t="str">
        <f>'Complete List_09252026'!K115</f>
        <v>Electronic</v>
      </c>
      <c r="I15" s="14" t="str">
        <f>'Complete List_09252026'!L115</f>
        <v>Financial District, North Beach</v>
      </c>
    </row>
    <row r="16" spans="1:10" s="14" customFormat="1" ht="26.45" customHeight="1" x14ac:dyDescent="0.25">
      <c r="A16" s="14" t="s">
        <v>1189</v>
      </c>
      <c r="B16" s="14" t="str">
        <f>'Complete List_09252026'!C205</f>
        <v>Danny Sauter</v>
      </c>
      <c r="C16" s="14" t="str">
        <f>'Complete List_09252026'!E205</f>
        <v>P.O. Box 330115</v>
      </c>
      <c r="D16" s="14" t="str">
        <f>'Complete List_09252026'!F205</f>
        <v>San Francisco</v>
      </c>
      <c r="E16" s="14" t="str">
        <f>'Complete List_09252026'!G205</f>
        <v>CA</v>
      </c>
      <c r="F16" s="14" t="str">
        <f>'Complete List_09252026'!H205</f>
        <v>94133</v>
      </c>
      <c r="G16" s="14" t="str">
        <f>'Complete List_09252026'!J205</f>
        <v>northbeachneighbors@ymail.com</v>
      </c>
      <c r="H16" s="14" t="str">
        <f>'Complete List_09252026'!K205</f>
        <v>Electronic</v>
      </c>
      <c r="I16" s="14" t="str">
        <f>'Complete List_09252026'!L205</f>
        <v>Chinatown, Financial District, Nob Hill, North Beach, Russian Hill</v>
      </c>
    </row>
    <row r="17" spans="1:10" s="14" customFormat="1" ht="57" customHeight="1" x14ac:dyDescent="0.25">
      <c r="A17" s="14" t="str">
        <f>'Complete List_09252026'!D203</f>
        <v>Northeast San Francisco Conservancy</v>
      </c>
      <c r="B17" s="14" t="str">
        <f>'Complete List_09252026'!C285</f>
        <v>Nancy Shanahan</v>
      </c>
      <c r="C17" s="14" t="str">
        <f>'Complete List_09252026'!E203</f>
        <v>224 Filbert Street</v>
      </c>
      <c r="D17" s="14" t="str">
        <f>'Complete List_09252026'!F203</f>
        <v>San Francisco</v>
      </c>
      <c r="E17" s="14" t="str">
        <f>'Complete List_09252026'!G203</f>
        <v>CA</v>
      </c>
      <c r="F17" s="14">
        <f>'Complete List_09252026'!H203</f>
        <v>94133</v>
      </c>
      <c r="G17" s="14" t="str">
        <f>'Complete List_09252026'!J203</f>
        <v>nshan@mindspring.com</v>
      </c>
      <c r="H17" s="14" t="str">
        <f>'Complete List_09252026'!K203</f>
        <v>Electronic</v>
      </c>
      <c r="I17" s="14" t="str">
        <f>'Complete List_09252026'!L203</f>
        <v>Chinatown, Financial District, North Beach, Russian Hill</v>
      </c>
    </row>
    <row r="18" spans="1:10" s="14" customFormat="1" ht="66" customHeight="1" x14ac:dyDescent="0.25">
      <c r="A18" s="11" t="s">
        <v>356</v>
      </c>
      <c r="B18" s="11" t="str">
        <f>'Complete List_09252026'!C59</f>
        <v>Malcom Yeung</v>
      </c>
      <c r="C18" s="11" t="str">
        <f>'Complete List_09252026'!E59</f>
        <v>615 Grant Avenue</v>
      </c>
      <c r="D18" s="11" t="str">
        <f>'Complete List_09252026'!F59</f>
        <v>San Francisco</v>
      </c>
      <c r="E18" s="11" t="str">
        <f>'Complete List_09252026'!G59</f>
        <v>CA</v>
      </c>
      <c r="F18" s="11" t="str">
        <f>'Complete List_09252026'!H59</f>
        <v>94133</v>
      </c>
      <c r="G18" s="11" t="str">
        <f>'Complete List_09252026'!J59</f>
        <v>myeung@chinatowncdc.org; matthias.mormino@chinatowncdc.org; sharon.ng@chinatowncdc.org; tandchow@gmail.com;</v>
      </c>
      <c r="H18" s="11" t="str">
        <f>'Complete List_09252026'!K59</f>
        <v>Electronic</v>
      </c>
      <c r="I18" s="11" t="str">
        <f>'Complete List_09252026'!L59</f>
        <v>Chinatown, Financial District, Nob Hill, North Beach, Russian Hill</v>
      </c>
    </row>
    <row r="19" spans="1:10" ht="41.25" customHeight="1" x14ac:dyDescent="0.25">
      <c r="A19" s="5" t="str">
        <f>'Complete List_09252026'!D285</f>
        <v>Telegraph Hill Dwellers - Planning &amp; Zoning Committee</v>
      </c>
      <c r="B19" s="5" t="str">
        <f>'Complete List_09252026'!C285</f>
        <v>Nancy Shanahan</v>
      </c>
      <c r="C19" s="5" t="str">
        <f>'Complete List_09252026'!E285</f>
        <v>470 Columbus Ave. #211</v>
      </c>
      <c r="D19" s="5" t="str">
        <f>'Complete List_09252026'!F285</f>
        <v>San Francisco</v>
      </c>
      <c r="E19" s="5" t="str">
        <f>'Complete List_09252026'!G285</f>
        <v>CA</v>
      </c>
      <c r="F19" s="5">
        <f>'Complete List_09252026'!H285</f>
        <v>94133</v>
      </c>
      <c r="G19" s="5" t="str">
        <f>'Complete List_09252026'!J285</f>
        <v>pz@thd.org</v>
      </c>
      <c r="H19" s="5" t="str">
        <f>'Complete List_09252026'!K285</f>
        <v>Electronic</v>
      </c>
      <c r="I19" s="5" t="str">
        <f>'Complete List_09252026'!L285</f>
        <v>North Beach, Financial District</v>
      </c>
    </row>
    <row r="20" spans="1:10" s="26" customFormat="1" ht="21" customHeight="1" x14ac:dyDescent="0.25">
      <c r="A20" s="5" t="str">
        <f>'Complete List_09252026'!D284</f>
        <v>Telegraph Hill Dwellers</v>
      </c>
      <c r="B20" s="5" t="str">
        <f>'Complete List_09252026'!C284</f>
        <v>Al Fontes</v>
      </c>
      <c r="C20" s="5" t="str">
        <f>'Complete List_09252026'!E284</f>
        <v>P.O. Box 330159</v>
      </c>
      <c r="D20" s="5" t="str">
        <f>'Complete List_09252026'!F284</f>
        <v>San Francisco</v>
      </c>
      <c r="E20" s="5" t="str">
        <f>'Complete List_09252026'!G284</f>
        <v>CA</v>
      </c>
      <c r="F20" s="5" t="str">
        <f>'Complete List_09252026'!H284</f>
        <v>94133</v>
      </c>
      <c r="G20" s="5" t="str">
        <f>'Complete List_09252026'!J284</f>
        <v>president@thd.org</v>
      </c>
      <c r="H20" s="5" t="str">
        <f>'Complete List_09252026'!K284</f>
        <v>Electronic</v>
      </c>
      <c r="I20" s="5" t="str">
        <f>'Complete List_09252026'!L284</f>
        <v>North Beach, Financial District</v>
      </c>
      <c r="J20" s="30"/>
    </row>
    <row r="21" spans="1:10" s="26" customFormat="1" ht="42" customHeight="1" x14ac:dyDescent="0.25">
      <c r="A21" s="11" t="str">
        <f>'Complete List_09252026'!D210</f>
        <v>Northern Neighbors</v>
      </c>
      <c r="B21" s="30"/>
      <c r="C21" s="11" t="str">
        <f>'Complete List_09252026'!E210</f>
        <v>2655 Bush St. Apt. 303</v>
      </c>
      <c r="D21" s="11" t="str">
        <f>'Complete List_09252026'!F210</f>
        <v>San Francisco</v>
      </c>
      <c r="E21" s="11" t="str">
        <f>'Complete List_09252026'!G210</f>
        <v>CA</v>
      </c>
      <c r="F21" s="11">
        <f>'Complete List_09252026'!H210</f>
        <v>94115</v>
      </c>
      <c r="G21" s="11" t="str">
        <f>'Complete List_09252026'!J210</f>
        <v>hello@northernneighbors.org</v>
      </c>
      <c r="H21" s="11" t="str">
        <f>'Complete List_09252026'!K210</f>
        <v>Electronic</v>
      </c>
      <c r="I21" s="11" t="str">
        <f>'Complete List_09252026'!L210</f>
        <v>Chinatown, Financial District, Nob Hill, North Beach, Pacific Heights, Presidio, Presidio Heights, Russian Hill, Seacliff</v>
      </c>
      <c r="J21" s="30"/>
    </row>
    <row r="22" spans="1:10" s="11" customFormat="1" ht="36.75" customHeight="1" x14ac:dyDescent="0.25">
      <c r="A22" s="31" t="str">
        <f>'Complete List_09252026'!D177</f>
        <v>Mid-Market Neighbors</v>
      </c>
      <c r="B22" s="31" t="str">
        <f>'Complete List_09252026'!C177</f>
        <v>Chuck Obermeyer</v>
      </c>
      <c r="C22" s="31" t="str">
        <f>'Complete List_09252026'!E177</f>
        <v>30 7th Street</v>
      </c>
      <c r="D22" s="31" t="str">
        <f>'Complete List_09252026'!F177</f>
        <v>San Francisco</v>
      </c>
      <c r="E22" s="31" t="str">
        <f>'Complete List_09252026'!G177</f>
        <v>CA</v>
      </c>
      <c r="F22" s="31">
        <f>'Complete List_09252026'!H177</f>
        <v>94103</v>
      </c>
      <c r="G22" s="31" t="str">
        <f>'Complete List_09252026'!J177</f>
        <v>chuck@midmarketneighbors.org</v>
      </c>
      <c r="H22" s="31" t="str">
        <f>'Complete List_09252026'!K177</f>
        <v>Electronic</v>
      </c>
      <c r="I22" s="31" t="str">
        <f>'Complete List_09252026'!L177</f>
        <v>Castro/Upper Market, Chinatown, Downtown/Civic Center, Financial District, Nob Hill, Potrero Hill, South of Market, Western Addition</v>
      </c>
      <c r="J22" s="31"/>
    </row>
  </sheetData>
  <autoFilter ref="A1:I1" xr:uid="{00000000-0009-0000-0000-00000A000000}">
    <sortState xmlns:xlrd2="http://schemas.microsoft.com/office/spreadsheetml/2017/richdata2" ref="A2:I16">
      <sortCondition descending="1" ref="H1"/>
    </sortState>
  </autoFilter>
  <mergeCells count="3">
    <mergeCell ref="A11:I11"/>
    <mergeCell ref="A2:I2"/>
    <mergeCell ref="A13:I13"/>
  </mergeCells>
  <pageMargins left="0.7" right="0.7" top="0.75" bottom="0.75" header="0.3" footer="0.3"/>
  <pageSetup scale="53" orientation="landscape" horizontalDpi="4294967292" verticalDpi="429496729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15"/>
  <sheetViews>
    <sheetView zoomScale="75" zoomScaleNormal="75" zoomScalePageLayoutView="75" workbookViewId="0">
      <selection activeCell="A15" sqref="A15:XFD15"/>
    </sheetView>
  </sheetViews>
  <sheetFormatPr defaultColWidth="8.85546875" defaultRowHeight="12.75" x14ac:dyDescent="0.25"/>
  <cols>
    <col min="1" max="1" width="20.7109375" style="5" customWidth="1"/>
    <col min="2" max="2" width="24.7109375" style="5" customWidth="1"/>
    <col min="3" max="3" width="33.140625" style="5" customWidth="1"/>
    <col min="4" max="4" width="14.85546875" style="5" customWidth="1"/>
    <col min="5" max="5" width="9.7109375" style="5" customWidth="1"/>
    <col min="6" max="6" width="10" style="8" customWidth="1"/>
    <col min="7" max="7" width="27.28515625" style="5" customWidth="1"/>
    <col min="8" max="8" width="35.28515625" style="5" customWidth="1"/>
    <col min="9" max="9" width="36.42578125" style="5" customWidth="1"/>
    <col min="10" max="10" width="8.85546875" style="5" customWidth="1"/>
    <col min="11" max="16384" width="8.85546875" style="5"/>
  </cols>
  <sheetData>
    <row r="1" spans="1:10" s="4" customFormat="1" ht="18" customHeight="1" x14ac:dyDescent="0.25">
      <c r="A1" s="4" t="s">
        <v>3</v>
      </c>
      <c r="B1" s="4" t="str">
        <f>'Complete List_09252026'!C1</f>
        <v>NAME</v>
      </c>
      <c r="C1" s="4" t="str">
        <f>'Complete List_09252026'!E1</f>
        <v>ADDRESS</v>
      </c>
      <c r="D1" s="4" t="str">
        <f>'Complete List_09252026'!F1</f>
        <v>CITY</v>
      </c>
      <c r="E1" s="4" t="str">
        <f>'Complete List_09252026'!G1</f>
        <v>STATE</v>
      </c>
      <c r="F1" s="10" t="str">
        <f>'Complete List_09252026'!H1</f>
        <v>ZIP</v>
      </c>
      <c r="G1" s="4" t="str">
        <f>'Complete List_09252026'!J1</f>
        <v>EMAIL</v>
      </c>
      <c r="H1" s="4" t="s">
        <v>10</v>
      </c>
      <c r="I1" s="4" t="str">
        <f>'Complete List_09252026'!L1</f>
        <v>NEIGHBORHOOD OF INTEREST</v>
      </c>
    </row>
    <row r="2" spans="1:10" s="26" customFormat="1" ht="18" customHeight="1" x14ac:dyDescent="0.25">
      <c r="A2" s="71" t="s">
        <v>1835</v>
      </c>
      <c r="B2" s="69"/>
      <c r="C2" s="69"/>
      <c r="D2" s="69"/>
      <c r="E2" s="69"/>
      <c r="F2" s="69"/>
      <c r="G2" s="69"/>
      <c r="H2" s="69"/>
      <c r="I2" s="69"/>
      <c r="J2" s="28"/>
    </row>
    <row r="3" spans="1:10" s="14" customFormat="1" ht="92.45" customHeight="1" x14ac:dyDescent="0.25">
      <c r="A3" s="14" t="s">
        <v>1511</v>
      </c>
      <c r="B3" s="14" t="str">
        <f>'Complete List_09252026'!C261</f>
        <v>Francesca Panullo</v>
      </c>
      <c r="C3" s="14" t="str">
        <f>'Complete List_09252026'!E261</f>
        <v>1415 Ocean Ave</v>
      </c>
      <c r="D3" s="14" t="str">
        <f>'Complete List_09252026'!F261</f>
        <v>San Francisco</v>
      </c>
      <c r="E3" s="14" t="str">
        <f>'Complete List_09252026'!G261</f>
        <v>CA</v>
      </c>
      <c r="F3" s="14">
        <f>'Complete List_09252026'!H261</f>
        <v>94112</v>
      </c>
      <c r="G3" s="14" t="str">
        <f>'Complete List_09252026'!J261</f>
        <v>sw8644@sherwin.com</v>
      </c>
      <c r="H3" s="14" t="str">
        <f>'Complete List_09252026'!K261</f>
        <v>Physical</v>
      </c>
      <c r="I3" s="14" t="str">
        <f>'Complete List_09252026'!L261</f>
        <v>Bayview, Bernal Heights, Crocker Amazon, Diamond Heights, Excelsior, Glen Park, Inner Sunset, Lakeshore, Noe Valley, Ocean View, Outer Mission, Outer Sunset, Parkside, Potrero Hill, South Bayshore, Twin Peaks, Visitacion Valley, West of Twin Peaks</v>
      </c>
    </row>
    <row r="4" spans="1:10" s="14" customFormat="1" ht="39.6" customHeight="1" x14ac:dyDescent="0.25">
      <c r="A4" s="14" t="s">
        <v>1149</v>
      </c>
      <c r="B4" s="14" t="str">
        <f>'Complete List_09252026'!C197</f>
        <v>David Hooper</v>
      </c>
      <c r="C4" s="14" t="str">
        <f>'Complete List_09252026'!E197</f>
        <v>P.O. Box 12111</v>
      </c>
      <c r="D4" s="14" t="str">
        <f>'Complete List_09252026'!F197</f>
        <v>San Francisco</v>
      </c>
      <c r="E4" s="14" t="str">
        <f>'Complete List_09252026'!G197</f>
        <v>CA</v>
      </c>
      <c r="F4" s="14" t="str">
        <f>'Complete List_09252026'!H197</f>
        <v>94112</v>
      </c>
      <c r="G4" s="14" t="str">
        <f>'Complete List_09252026'!J197</f>
        <v>nmtiasf@gmail.com</v>
      </c>
      <c r="H4" s="14" t="str">
        <f>'Complete List_09252026'!K197</f>
        <v>Physical</v>
      </c>
      <c r="I4" s="14" t="str">
        <f>'Complete List_09252026'!L197</f>
        <v xml:space="preserve">Crocker Amazon, Excelsior, Glen Park,  Outer Mission, </v>
      </c>
    </row>
    <row r="5" spans="1:10" s="14" customFormat="1" ht="17.45" customHeight="1" x14ac:dyDescent="0.25">
      <c r="A5" s="68" t="s">
        <v>1836</v>
      </c>
      <c r="B5" s="72"/>
      <c r="C5" s="72"/>
      <c r="D5" s="72"/>
      <c r="E5" s="72"/>
      <c r="F5" s="72"/>
      <c r="G5" s="72"/>
      <c r="H5" s="72"/>
      <c r="I5" s="72"/>
    </row>
    <row r="6" spans="1:10" s="14" customFormat="1" ht="84" customHeight="1" x14ac:dyDescent="0.25">
      <c r="A6" s="14" t="s">
        <v>214</v>
      </c>
      <c r="B6" s="14" t="str">
        <f>'Complete List_09252026'!C38</f>
        <v>Rafael Mandelman</v>
      </c>
      <c r="C6" s="14" t="str">
        <f>'Complete List_09252026'!E38</f>
        <v>1 Dr. Carlton B Goodlett Place, Room #244</v>
      </c>
      <c r="D6" s="14" t="str">
        <f>'Complete List_09252026'!F38</f>
        <v>San Francisco</v>
      </c>
      <c r="E6" s="14" t="str">
        <f>'Complete List_09252026'!G38</f>
        <v>CA</v>
      </c>
      <c r="F6" s="14" t="str">
        <f>'Complete List_09252026'!H38</f>
        <v>94102-4689</v>
      </c>
      <c r="G6" s="14" t="str">
        <f>'Complete List_09252026'!J38</f>
        <v>Rafael.Mandelman@sfgov.org;
Kyle.Smeallie@sfgov.org;
Tom.Temprano@sfgov.org;
jacob.bintliff@sfgov.org; 
mandelmanstaff@sfgov.org</v>
      </c>
      <c r="H6" s="14" t="str">
        <f>'Complete List_09252026'!K38</f>
        <v>Both</v>
      </c>
      <c r="I6" s="14" t="str">
        <f>'Complete List_09252026'!L38</f>
        <v>Castro/Upper Market, Diamond Heights, Glen Park, Noe Valley, Twin Peaks</v>
      </c>
    </row>
    <row r="7" spans="1:10" s="26" customFormat="1" ht="18" customHeight="1" x14ac:dyDescent="0.25">
      <c r="A7" s="70" t="s">
        <v>1842</v>
      </c>
      <c r="B7" s="69"/>
      <c r="C7" s="69"/>
      <c r="D7" s="69"/>
      <c r="E7" s="69"/>
      <c r="F7" s="69"/>
      <c r="G7" s="69"/>
      <c r="H7" s="69"/>
      <c r="I7" s="69"/>
      <c r="J7" s="29"/>
    </row>
    <row r="8" spans="1:10" s="14" customFormat="1" ht="26.45" customHeight="1" x14ac:dyDescent="0.25">
      <c r="A8" s="14" t="s">
        <v>171</v>
      </c>
      <c r="B8" s="14" t="str">
        <f>'Complete List_09252026'!C27</f>
        <v>Sophie Constantinou</v>
      </c>
      <c r="C8" s="14" t="str">
        <f>'Complete List_09252026'!E27</f>
        <v>22 Richland Avenue</v>
      </c>
      <c r="D8" s="14" t="str">
        <f>'Complete List_09252026'!F27</f>
        <v>San Francisco</v>
      </c>
      <c r="E8" s="14" t="str">
        <f>'Complete List_09252026'!G27</f>
        <v>CA</v>
      </c>
      <c r="F8" s="14">
        <f>'Complete List_09252026'!H27</f>
        <v>94110</v>
      </c>
      <c r="G8" s="14" t="str">
        <f>'Complete List_09252026'!J27</f>
        <v>bernalcutpath@gmail.com</v>
      </c>
      <c r="H8" s="14" t="str">
        <f>'Complete List_09252026'!K27</f>
        <v>Electronic</v>
      </c>
      <c r="I8" s="14" t="str">
        <f>'Complete List_09252026'!L27</f>
        <v>Bernal Heights, Glen Park</v>
      </c>
    </row>
    <row r="9" spans="1:10" s="14" customFormat="1" ht="26.45" customHeight="1" x14ac:dyDescent="0.25">
      <c r="A9" s="14" t="s">
        <v>476</v>
      </c>
      <c r="B9" s="14" t="str">
        <f>'Complete List_09252026'!C79</f>
        <v>Daniel Schereck</v>
      </c>
      <c r="C9" s="14" t="str">
        <f>'Complete List_09252026'!E79</f>
        <v>P.O. Box 31529</v>
      </c>
      <c r="D9" s="14" t="str">
        <f>'Complete List_09252026'!F79</f>
        <v>San Francisco</v>
      </c>
      <c r="E9" s="14" t="str">
        <f>'Complete List_09252026'!G79</f>
        <v>CA</v>
      </c>
      <c r="F9" s="14">
        <f>'Complete List_09252026'!H79</f>
        <v>94131</v>
      </c>
      <c r="G9" s="14" t="str">
        <f>'Complete List_09252026'!J79</f>
        <v>dhcasf@gmail.com</v>
      </c>
      <c r="H9" s="14" t="str">
        <f>'Complete List_09252026'!K79</f>
        <v>Electronic</v>
      </c>
      <c r="I9" s="14" t="str">
        <f>'Complete List_09252026'!L79</f>
        <v>Diamond Heights, Glen Park, Noe Valley</v>
      </c>
    </row>
    <row r="10" spans="1:10" s="14" customFormat="1" ht="39.6" customHeight="1" x14ac:dyDescent="0.25">
      <c r="A10" s="14" t="s">
        <v>483</v>
      </c>
      <c r="B10" s="14" t="str">
        <f>'Complete List_09252026'!C80</f>
        <v>Carey Rutigliano</v>
      </c>
      <c r="C10" s="14" t="str">
        <f>'Complete List_09252026'!E80</f>
        <v>108 Everson Street</v>
      </c>
      <c r="D10" s="14" t="str">
        <f>'Complete List_09252026'!F80</f>
        <v>San Francisco</v>
      </c>
      <c r="E10" s="14" t="str">
        <f>'Complete List_09252026'!G80</f>
        <v>CA</v>
      </c>
      <c r="F10" s="14" t="str">
        <f>'Complete List_09252026'!H80</f>
        <v>94131</v>
      </c>
      <c r="G10" s="14" t="str">
        <f>'Complete List_09252026'!J80</f>
        <v>careyruttig@yahoo.com</v>
      </c>
      <c r="H10" s="14" t="str">
        <f>'Complete List_09252026'!K80</f>
        <v>Electronic</v>
      </c>
      <c r="I10" s="14" t="str">
        <f>'Complete List_09252026'!L80</f>
        <v>Diamond Heights, Glen Park</v>
      </c>
    </row>
    <row r="11" spans="1:10" s="14" customFormat="1" ht="39.6" customHeight="1" x14ac:dyDescent="0.25">
      <c r="A11" s="14" t="s">
        <v>669</v>
      </c>
      <c r="B11" s="14" t="str">
        <f>'Complete List_09252026'!C111</f>
        <v xml:space="preserve"> </v>
      </c>
      <c r="C11" s="14" t="str">
        <f>'Complete List_09252026'!E111</f>
        <v>P.O. Box 31292</v>
      </c>
      <c r="D11" s="14" t="str">
        <f>'Complete List_09252026'!F111</f>
        <v>San Francisco</v>
      </c>
      <c r="E11" s="14" t="str">
        <f>'Complete List_09252026'!G111</f>
        <v>CA</v>
      </c>
      <c r="F11" s="14" t="str">
        <f>'Complete List_09252026'!H111</f>
        <v>94131</v>
      </c>
      <c r="G11" s="14" t="str">
        <f>'Complete List_09252026'!J111</f>
        <v>president@glenparkassociation.org; info@glenparkassociation.org</v>
      </c>
      <c r="H11" s="14" t="str">
        <f>'Complete List_09252026'!K111</f>
        <v>Electronic</v>
      </c>
      <c r="I11" s="14" t="str">
        <f>'Complete List_09252026'!L111</f>
        <v>Glen Park</v>
      </c>
    </row>
    <row r="12" spans="1:10" s="14" customFormat="1" ht="69" customHeight="1" x14ac:dyDescent="0.25">
      <c r="A12" s="14" t="s">
        <v>674</v>
      </c>
      <c r="B12" s="14" t="str">
        <f>'Complete List_09252026'!C112</f>
        <v xml:space="preserve"> </v>
      </c>
      <c r="C12" s="14" t="str">
        <f>'Complete List_09252026'!E112</f>
        <v>556 Laidley Street, Unit G</v>
      </c>
      <c r="D12" s="14" t="str">
        <f>'Complete List_09252026'!F112</f>
        <v>San Francisco</v>
      </c>
      <c r="E12" s="14" t="str">
        <f>'Complete List_09252026'!G112</f>
        <v>CA</v>
      </c>
      <c r="F12" s="14">
        <f>'Complete List_09252026'!H112</f>
        <v>94131</v>
      </c>
      <c r="G12" s="14" t="str">
        <f>'Complete List_09252026'!J112</f>
        <v>glenparkurbanists@gmail.com</v>
      </c>
      <c r="H12" s="14" t="str">
        <f>'Complete List_09252026'!K112</f>
        <v>Electronic</v>
      </c>
      <c r="I12" s="14" t="str">
        <f>'Complete List_09252026'!L112</f>
        <v>Glen Park</v>
      </c>
    </row>
    <row r="13" spans="1:10" s="14" customFormat="1" ht="52.9" customHeight="1" x14ac:dyDescent="0.2">
      <c r="A13" s="24" t="s">
        <v>1477</v>
      </c>
      <c r="B13" s="24" t="str">
        <f>'Complete List_09252026'!C255</f>
        <v>Gary Weiss</v>
      </c>
      <c r="C13" s="24" t="str">
        <f>'Complete List_09252026'!E255</f>
        <v>78 Mars Street</v>
      </c>
      <c r="D13" s="24" t="str">
        <f>'Complete List_09252026'!F255</f>
        <v>San Francisco</v>
      </c>
      <c r="E13" s="24" t="str">
        <f>'Complete List_09252026'!G255</f>
        <v>CA</v>
      </c>
      <c r="F13" s="24">
        <f>'Complete List_09252026'!H255</f>
        <v>94114</v>
      </c>
      <c r="G13" s="24" t="str">
        <f>'Complete List_09252026'!J255</f>
        <v>garysfx@gmail.com</v>
      </c>
      <c r="H13" s="24" t="str">
        <f>'Complete List_09252026'!K255</f>
        <v>Electronic</v>
      </c>
      <c r="I13" s="24" t="str">
        <f>'Complete List_09252026'!L255</f>
        <v>Castro/Upper Market, Diamond Heights, Glen Park, Haight Ashbury, Mission, Noe Valley, South of Market, Twin Peaks, Upper Market, Western Addition</v>
      </c>
    </row>
    <row r="14" spans="1:10" ht="79.150000000000006" customHeight="1" x14ac:dyDescent="0.25">
      <c r="A14" s="11" t="s">
        <v>265</v>
      </c>
      <c r="B14" s="11" t="s">
        <v>264</v>
      </c>
      <c r="C14" s="11" t="s">
        <v>266</v>
      </c>
      <c r="D14" s="11" t="s">
        <v>16</v>
      </c>
      <c r="E14" s="11" t="s">
        <v>17</v>
      </c>
      <c r="F14" s="14">
        <v>94134</v>
      </c>
      <c r="G14" s="11" t="s">
        <v>268</v>
      </c>
      <c r="H14" s="11" t="s">
        <v>63</v>
      </c>
      <c r="I14" s="11" t="s">
        <v>269</v>
      </c>
      <c r="J14" s="11"/>
    </row>
    <row r="15" spans="1:10" ht="38.25" x14ac:dyDescent="0.25">
      <c r="A15" s="5" t="str">
        <f>'Complete List_09252026'!D146</f>
        <v>Keep Crocker Real</v>
      </c>
      <c r="B15" s="5" t="str">
        <f>'Complete List_09252026'!C146</f>
        <v>KC Real</v>
      </c>
      <c r="C15" s="5">
        <f>'Complete List_09252026'!E146</f>
        <v>0</v>
      </c>
      <c r="D15" s="5" t="str">
        <f>'Complete List_09252026'!F146</f>
        <v>San Francisco</v>
      </c>
      <c r="E15" s="5" t="str">
        <f>'Complete List_09252026'!G146</f>
        <v>CA</v>
      </c>
      <c r="F15" s="5">
        <f>'Complete List_09252026'!H146</f>
        <v>94112</v>
      </c>
      <c r="G15" s="5" t="str">
        <f>'Complete List_09252026'!J146</f>
        <v>hello@keepcrockerreal.com</v>
      </c>
      <c r="H15" s="5" t="str">
        <f>'Complete List_09252026'!K146</f>
        <v>Electronic</v>
      </c>
      <c r="I15" s="5" t="str">
        <f>'Complete List_09252026'!L146</f>
        <v>Bayview, Crocker Amazon, Excelsior, Glen Park, Outer Mission, Visitacion Valley</v>
      </c>
    </row>
  </sheetData>
  <autoFilter ref="A1:I1" xr:uid="{00000000-0009-0000-0000-00000B000000}">
    <sortState xmlns:xlrd2="http://schemas.microsoft.com/office/spreadsheetml/2017/richdata2" ref="A2:I10">
      <sortCondition descending="1" ref="H1"/>
    </sortState>
  </autoFilter>
  <mergeCells count="3">
    <mergeCell ref="A7:I7"/>
    <mergeCell ref="A2:I2"/>
    <mergeCell ref="A5:I5"/>
  </mergeCells>
  <pageMargins left="0.7" right="0.7" top="0.75" bottom="0.75" header="0.3" footer="0.3"/>
  <pageSetup scale="52"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J7"/>
  <sheetViews>
    <sheetView zoomScale="75" zoomScaleNormal="75" zoomScalePageLayoutView="75" workbookViewId="0">
      <selection activeCell="A7" sqref="A7:XFD7"/>
    </sheetView>
  </sheetViews>
  <sheetFormatPr defaultColWidth="8.85546875" defaultRowHeight="12.75" x14ac:dyDescent="0.25"/>
  <cols>
    <col min="1" max="1" width="20.7109375" style="5" customWidth="1"/>
    <col min="2" max="2" width="24.7109375" style="5" customWidth="1"/>
    <col min="3" max="3" width="33.140625" style="5" customWidth="1"/>
    <col min="4" max="4" width="14.85546875" style="5" customWidth="1"/>
    <col min="5" max="5" width="9.7109375" style="5" customWidth="1"/>
    <col min="6" max="6" width="10" style="8" customWidth="1"/>
    <col min="7" max="7" width="27.28515625" style="5" customWidth="1"/>
    <col min="8" max="8" width="35.28515625" style="5" customWidth="1"/>
    <col min="9" max="9" width="36.42578125" style="5" customWidth="1"/>
    <col min="10" max="10" width="8.85546875" style="5" customWidth="1"/>
    <col min="11" max="16384" width="8.85546875" style="5"/>
  </cols>
  <sheetData>
    <row r="1" spans="1:10" s="4" customFormat="1" ht="18" customHeight="1" x14ac:dyDescent="0.25">
      <c r="A1" s="4" t="s">
        <v>3</v>
      </c>
      <c r="B1" s="4" t="str">
        <f>'Complete List_09252026'!C1</f>
        <v>NAME</v>
      </c>
      <c r="C1" s="4" t="str">
        <f>'Complete List_09252026'!E1</f>
        <v>ADDRESS</v>
      </c>
      <c r="D1" s="4" t="str">
        <f>'Complete List_09252026'!F1</f>
        <v>CITY</v>
      </c>
      <c r="E1" s="4" t="str">
        <f>'Complete List_09252026'!G1</f>
        <v>STATE</v>
      </c>
      <c r="F1" s="10" t="str">
        <f>'Complete List_09252026'!H1</f>
        <v>ZIP</v>
      </c>
      <c r="G1" s="4" t="str">
        <f>'Complete List_09252026'!J1</f>
        <v>EMAIL</v>
      </c>
      <c r="H1" s="4" t="s">
        <v>10</v>
      </c>
      <c r="I1" s="4" t="str">
        <f>'Complete List_09252026'!L1</f>
        <v>NEIGHBORHOOD OF INTEREST</v>
      </c>
    </row>
    <row r="2" spans="1:10" s="26" customFormat="1" ht="18" customHeight="1" x14ac:dyDescent="0.25">
      <c r="A2" s="71" t="s">
        <v>1835</v>
      </c>
      <c r="B2" s="69"/>
      <c r="C2" s="69"/>
      <c r="D2" s="69"/>
      <c r="E2" s="69"/>
      <c r="F2" s="69"/>
      <c r="G2" s="69"/>
      <c r="H2" s="69"/>
      <c r="I2" s="69"/>
      <c r="J2" s="28"/>
    </row>
    <row r="3" spans="1:10" s="14" customFormat="1" ht="26.45" customHeight="1" x14ac:dyDescent="0.25">
      <c r="A3" s="14" t="str">
        <f>'Complete List_09252026'!D122</f>
        <v>Haight Ashbury Neighborhood Council</v>
      </c>
      <c r="B3" s="14" t="str">
        <f>'Complete List_09252026'!C122</f>
        <v>Land Use and Housing Chair</v>
      </c>
      <c r="C3" s="14" t="str">
        <f>'Complete List_09252026'!E122</f>
        <v>P.O. Box 170518</v>
      </c>
      <c r="D3" s="14" t="str">
        <f>'Complete List_09252026'!F122</f>
        <v>San Francisco</v>
      </c>
      <c r="E3" s="14" t="str">
        <f>'Complete List_09252026'!G122</f>
        <v>CA</v>
      </c>
      <c r="F3" s="14" t="str">
        <f>'Complete List_09252026'!H122</f>
        <v>94117</v>
      </c>
      <c r="G3" s="14" t="str">
        <f>'Complete List_09252026'!J122</f>
        <v>info@hanc-sf.org</v>
      </c>
      <c r="H3" s="14" t="str">
        <f>'Complete List_09252026'!K122</f>
        <v>Physical</v>
      </c>
      <c r="I3" s="14" t="str">
        <f>'Complete List_09252026'!L122</f>
        <v>Haight Ashbury, Inner Sunset, Golden Gate Park</v>
      </c>
    </row>
    <row r="4" spans="1:10" s="14" customFormat="1" ht="52.9" customHeight="1" x14ac:dyDescent="0.25">
      <c r="A4" s="14" t="str">
        <f>'Complete List_09252026'!D132</f>
        <v>Housing Rights Committee of San Francisco</v>
      </c>
      <c r="B4" s="14" t="str">
        <f>'Complete List_09252026'!C132</f>
        <v>Sarah Sherburn-Zimmer</v>
      </c>
      <c r="C4" s="14" t="str">
        <f>'Complete List_09252026'!E132</f>
        <v>1663 Mission Street, Suite 504</v>
      </c>
      <c r="D4" s="14" t="str">
        <f>'Complete List_09252026'!F132</f>
        <v>San Francisco</v>
      </c>
      <c r="E4" s="14" t="str">
        <f>'Complete List_09252026'!G132</f>
        <v>CA</v>
      </c>
      <c r="F4" s="14">
        <f>'Complete List_09252026'!H132</f>
        <v>94103</v>
      </c>
      <c r="G4" s="14" t="str">
        <f>'Complete List_09252026'!J132</f>
        <v>fred@hrcsf.org</v>
      </c>
      <c r="H4" s="14" t="str">
        <f>'Complete List_09252026'!K132</f>
        <v>Physical</v>
      </c>
      <c r="I4" s="14" t="str">
        <f>'Complete List_09252026'!L132</f>
        <v>Golden Gate Park, Inner Richmond, Inner Sunset, Lakeshore, Outer Richmond, Outer Sunset, Parkside, West of Twin Peaks</v>
      </c>
    </row>
    <row r="5" spans="1:10" s="26" customFormat="1" ht="18" customHeight="1" x14ac:dyDescent="0.25">
      <c r="A5" s="70" t="s">
        <v>1842</v>
      </c>
      <c r="B5" s="69"/>
      <c r="C5" s="69"/>
      <c r="D5" s="69"/>
      <c r="E5" s="69"/>
      <c r="F5" s="69"/>
      <c r="G5" s="69"/>
      <c r="H5" s="69"/>
      <c r="I5" s="69"/>
      <c r="J5" s="29"/>
    </row>
    <row r="6" spans="1:10" s="14" customFormat="1" ht="39.6" customHeight="1" x14ac:dyDescent="0.25">
      <c r="A6" s="14" t="str">
        <f>'Complete List_09252026'!D67</f>
        <v>Coalition to Save Ocean Beach / Friends of Sutro Park</v>
      </c>
      <c r="B6" s="14" t="str">
        <f>'Complete List_09252026'!C67</f>
        <v>Jason Jungreis</v>
      </c>
      <c r="C6" s="14" t="str">
        <f>'Complete List_09252026'!E67</f>
        <v>527 47th Avenue</v>
      </c>
      <c r="D6" s="14" t="str">
        <f>'Complete List_09252026'!F67</f>
        <v>San Francisco</v>
      </c>
      <c r="E6" s="14" t="str">
        <f>'Complete List_09252026'!G67</f>
        <v>CA</v>
      </c>
      <c r="F6" s="14">
        <f>'Complete List_09252026'!H67</f>
        <v>94121</v>
      </c>
      <c r="G6" s="14" t="str">
        <f>'Complete List_09252026'!J67</f>
        <v>jasonzjungreis@gmail.com</v>
      </c>
      <c r="H6" s="14" t="str">
        <f>'Complete List_09252026'!K67</f>
        <v>Electronic</v>
      </c>
      <c r="I6" s="14" t="str">
        <f>'Complete List_09252026'!L67</f>
        <v>Golden Gate Park, Outer Richmond, Seacliff</v>
      </c>
    </row>
    <row r="7" spans="1:10" ht="39.6" customHeight="1" x14ac:dyDescent="0.25">
      <c r="A7" s="5" t="str">
        <f>'Complete List_09252026'!D124</f>
        <v>Haight Ashbury Panhandle Tenants Into Community (HAPTIC)</v>
      </c>
      <c r="B7" s="5" t="str">
        <f>'Complete List_09252026'!C124</f>
        <v>Nick Chapman</v>
      </c>
      <c r="C7" s="5" t="str">
        <f>'Complete List_09252026'!E124</f>
        <v>1484 Page Street</v>
      </c>
      <c r="D7" s="5" t="str">
        <f>'Complete List_09252026'!F124</f>
        <v>San Francisco</v>
      </c>
      <c r="E7" s="5" t="str">
        <f>'Complete List_09252026'!G124</f>
        <v>CA</v>
      </c>
      <c r="F7" s="5">
        <f>'Complete List_09252026'!H124</f>
        <v>94117</v>
      </c>
      <c r="G7" s="5" t="str">
        <f>'Complete List_09252026'!J124</f>
        <v>sfhaptic@gmail.com</v>
      </c>
      <c r="H7" s="5" t="str">
        <f>'Complete List_09252026'!K124</f>
        <v>Electronic</v>
      </c>
      <c r="I7" s="5" t="str">
        <f>'Complete List_09252026'!L124</f>
        <v>Golden Gate Park, Haight Ashbury, Western Addition</v>
      </c>
    </row>
  </sheetData>
  <autoFilter ref="A1:I1" xr:uid="{00000000-0009-0000-0000-00000C000000}">
    <sortState xmlns:xlrd2="http://schemas.microsoft.com/office/spreadsheetml/2017/richdata2" ref="A2:I4">
      <sortCondition ref="H1"/>
    </sortState>
  </autoFilter>
  <mergeCells count="2">
    <mergeCell ref="A5:I5"/>
    <mergeCell ref="A2:I2"/>
  </mergeCells>
  <pageMargins left="0.7" right="0.7" top="0.75" bottom="0.75" header="0.3" footer="0.3"/>
  <pageSetup scale="52"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J20"/>
  <sheetViews>
    <sheetView zoomScale="75" zoomScaleNormal="75" zoomScalePageLayoutView="75" workbookViewId="0">
      <selection activeCell="G11" sqref="G11"/>
    </sheetView>
  </sheetViews>
  <sheetFormatPr defaultColWidth="8.85546875" defaultRowHeight="12.75" x14ac:dyDescent="0.25"/>
  <cols>
    <col min="1" max="1" width="20.7109375" style="5" customWidth="1"/>
    <col min="2" max="2" width="24.7109375" style="5" customWidth="1"/>
    <col min="3" max="3" width="33.140625" style="5" customWidth="1"/>
    <col min="4" max="4" width="14.85546875" style="5" customWidth="1"/>
    <col min="5" max="5" width="9.7109375" style="5" customWidth="1"/>
    <col min="6" max="6" width="10" style="8" customWidth="1"/>
    <col min="7" max="7" width="27.28515625" style="5" customWidth="1"/>
    <col min="8" max="8" width="35.28515625" style="5" customWidth="1"/>
    <col min="9" max="9" width="36.42578125" style="5" customWidth="1"/>
    <col min="10" max="10" width="8.85546875" style="5" customWidth="1"/>
    <col min="11" max="16384" width="8.85546875" style="5"/>
  </cols>
  <sheetData>
    <row r="1" spans="1:10" s="4" customFormat="1" ht="18" customHeight="1" x14ac:dyDescent="0.25">
      <c r="A1" s="4" t="s">
        <v>3</v>
      </c>
      <c r="B1" s="4" t="str">
        <f>'Complete List_09252026'!C1</f>
        <v>NAME</v>
      </c>
      <c r="C1" s="4" t="str">
        <f>'Complete List_09252026'!E1</f>
        <v>ADDRESS</v>
      </c>
      <c r="D1" s="4" t="str">
        <f>'Complete List_09252026'!F1</f>
        <v>CITY</v>
      </c>
      <c r="E1" s="4" t="str">
        <f>'Complete List_09252026'!G1</f>
        <v>STATE</v>
      </c>
      <c r="F1" s="10" t="str">
        <f>'Complete List_09252026'!H1</f>
        <v>ZIP</v>
      </c>
      <c r="G1" s="4" t="str">
        <f>'Complete List_09252026'!J1</f>
        <v>EMAIL</v>
      </c>
      <c r="H1" s="4" t="s">
        <v>10</v>
      </c>
      <c r="I1" s="4" t="str">
        <f>'Complete List_09252026'!L1</f>
        <v>NEIGHBORHOOD OF INTEREST</v>
      </c>
    </row>
    <row r="2" spans="1:10" s="26" customFormat="1" ht="18" customHeight="1" x14ac:dyDescent="0.25">
      <c r="A2" s="71" t="s">
        <v>1835</v>
      </c>
      <c r="B2" s="69"/>
      <c r="C2" s="69"/>
      <c r="D2" s="69"/>
      <c r="E2" s="69"/>
      <c r="F2" s="69"/>
      <c r="G2" s="69"/>
      <c r="H2" s="69"/>
      <c r="I2" s="69"/>
      <c r="J2" s="28"/>
    </row>
    <row r="3" spans="1:10" s="14" customFormat="1" ht="26.45" customHeight="1" x14ac:dyDescent="0.25">
      <c r="A3" s="14" t="str">
        <f>'Complete List_09252026'!D122</f>
        <v>Haight Ashbury Neighborhood Council</v>
      </c>
      <c r="B3" s="14" t="str">
        <f>'Complete List_09252026'!C122</f>
        <v>Land Use and Housing Chair</v>
      </c>
      <c r="C3" s="14" t="str">
        <f>'Complete List_09252026'!E122</f>
        <v>P.O. Box 170518</v>
      </c>
      <c r="D3" s="14" t="str">
        <f>'Complete List_09252026'!F122</f>
        <v>San Francisco</v>
      </c>
      <c r="E3" s="14" t="str">
        <f>'Complete List_09252026'!G122</f>
        <v>CA</v>
      </c>
      <c r="F3" s="14" t="str">
        <f>'Complete List_09252026'!H122</f>
        <v>94117</v>
      </c>
      <c r="G3" s="14" t="str">
        <f>'Complete List_09252026'!J122</f>
        <v>info@hanc-sf.org</v>
      </c>
      <c r="H3" s="14" t="str">
        <f>'Complete List_09252026'!K122</f>
        <v>Physical</v>
      </c>
      <c r="I3" s="14" t="str">
        <f>'Complete List_09252026'!L122</f>
        <v>Haight Ashbury, Inner Sunset, Golden Gate Park</v>
      </c>
    </row>
    <row r="4" spans="1:10" s="14" customFormat="1" ht="39.6" customHeight="1" x14ac:dyDescent="0.25">
      <c r="A4" s="14" t="str">
        <f>'Complete List_09252026'!D123</f>
        <v>Haight Ashbury Neighbors for Density (HAND)</v>
      </c>
      <c r="B4" s="14" t="str">
        <f>'Complete List_09252026'!C123</f>
        <v>Phillip Kobernick</v>
      </c>
      <c r="C4" s="14" t="str">
        <f>'Complete List_09252026'!E123</f>
        <v>401 Cole Street</v>
      </c>
      <c r="D4" s="14" t="str">
        <f>'Complete List_09252026'!F123</f>
        <v>San Francisco</v>
      </c>
      <c r="E4" s="14" t="str">
        <f>'Complete List_09252026'!G123</f>
        <v>CA</v>
      </c>
      <c r="F4" s="14">
        <f>'Complete List_09252026'!H123</f>
        <v>94117</v>
      </c>
      <c r="G4" s="14" t="str">
        <f>'Complete List_09252026'!J123</f>
        <v>hand4sf@gmail.com</v>
      </c>
      <c r="H4" s="14" t="str">
        <f>'Complete List_09252026'!K123</f>
        <v>Physical</v>
      </c>
      <c r="I4" s="14" t="str">
        <f>'Complete List_09252026'!L123</f>
        <v>Haight Ashbury</v>
      </c>
    </row>
    <row r="5" spans="1:10" s="14" customFormat="1" ht="26.45" customHeight="1" x14ac:dyDescent="0.25">
      <c r="A5" s="14" t="str">
        <f>'Complete List_09252026'!D202</f>
        <v>NOPA West Neighbors (NOPAWN)</v>
      </c>
      <c r="B5" s="14" t="str">
        <f>'Complete List_09252026'!C202</f>
        <v>Henry Tang &amp; Brian Kingan</v>
      </c>
      <c r="C5" s="14" t="str">
        <f>'Complete List_09252026'!E202</f>
        <v>627 Masonic Avenue</v>
      </c>
      <c r="D5" s="14" t="str">
        <f>'Complete List_09252026'!F202</f>
        <v>San Francisco</v>
      </c>
      <c r="E5" s="14" t="str">
        <f>'Complete List_09252026'!G202</f>
        <v>CA</v>
      </c>
      <c r="F5" s="14">
        <f>'Complete List_09252026'!H202</f>
        <v>94117</v>
      </c>
      <c r="G5" s="14" t="str">
        <f>'Complete List_09252026'!J202</f>
        <v>nopawestneighbors@gmail.com</v>
      </c>
      <c r="H5" s="14" t="str">
        <f>'Complete List_09252026'!K202</f>
        <v>Physical</v>
      </c>
      <c r="I5" s="14" t="str">
        <f>'Complete List_09252026'!L202</f>
        <v>Haight Ashbury</v>
      </c>
    </row>
    <row r="6" spans="1:10" s="14" customFormat="1" x14ac:dyDescent="0.25">
      <c r="A6" s="14" t="str">
        <f>'Complete List_09252026'!D4</f>
        <v>-</v>
      </c>
      <c r="B6" s="14" t="str">
        <f>'Complete List_09252026'!C4</f>
        <v>Marianne Hesse</v>
      </c>
      <c r="C6" s="14" t="str">
        <f>'Complete List_09252026'!E4</f>
        <v>101 Belvedere Street</v>
      </c>
      <c r="D6" s="14" t="str">
        <f>'Complete List_09252026'!F4</f>
        <v>San Francisco</v>
      </c>
      <c r="E6" s="14" t="str">
        <f>'Complete List_09252026'!G4</f>
        <v>CA</v>
      </c>
      <c r="F6" s="14">
        <f>'Complete List_09252026'!H4</f>
        <v>94117</v>
      </c>
      <c r="G6" s="14" t="str">
        <f>'Complete List_09252026'!J4</f>
        <v>mhesse@pacbell.net</v>
      </c>
      <c r="H6" s="14" t="str">
        <f>'Complete List_09252026'!K4</f>
        <v>Physical</v>
      </c>
      <c r="I6" s="14" t="str">
        <f>'Complete List_09252026'!L4</f>
        <v>Haight Ashbury</v>
      </c>
    </row>
    <row r="7" spans="1:10" s="14" customFormat="1" ht="39.6" customHeight="1" x14ac:dyDescent="0.25">
      <c r="A7" s="14" t="str">
        <f>'Complete List_09252026'!D121</f>
        <v>Haight Ashbury Improvement Association</v>
      </c>
      <c r="B7" s="14" t="str">
        <f>'Complete List_09252026'!C121</f>
        <v>Ted Loewenberg</v>
      </c>
      <c r="C7" s="14" t="str">
        <f>'Complete List_09252026'!E121</f>
        <v>P.O. Box 170098</v>
      </c>
      <c r="D7" s="14" t="str">
        <f>'Complete List_09252026'!F121</f>
        <v>San Francisco</v>
      </c>
      <c r="E7" s="14" t="str">
        <f>'Complete List_09252026'!G121</f>
        <v>CA</v>
      </c>
      <c r="F7" s="14" t="str">
        <f>'Complete List_09252026'!H121</f>
        <v>94117</v>
      </c>
      <c r="G7" s="14" t="str">
        <f>'Complete List_09252026'!J121</f>
        <v>tedlsf@sbcglobal.net</v>
      </c>
      <c r="H7" s="14" t="str">
        <f>'Complete List_09252026'!K121</f>
        <v>Physical</v>
      </c>
      <c r="I7" s="14" t="str">
        <f>'Complete List_09252026'!L121</f>
        <v>Haight Ashbury</v>
      </c>
    </row>
    <row r="8" spans="1:10" s="14" customFormat="1" ht="26.45" customHeight="1" x14ac:dyDescent="0.25">
      <c r="A8" s="14" t="str">
        <f>'Complete List_09252026'!D289</f>
        <v>Temescal Terrace Association</v>
      </c>
      <c r="B8" s="14" t="str">
        <f>'Complete List_09252026'!C289</f>
        <v>Richard Rabbitt</v>
      </c>
      <c r="C8" s="14" t="str">
        <f>'Complete List_09252026'!E289</f>
        <v>55 Temescal Terrace</v>
      </c>
      <c r="D8" s="14" t="str">
        <f>'Complete List_09252026'!F289</f>
        <v>San Francisco</v>
      </c>
      <c r="E8" s="14" t="str">
        <f>'Complete List_09252026'!G289</f>
        <v>CA</v>
      </c>
      <c r="F8" s="14" t="str">
        <f>'Complete List_09252026'!H289</f>
        <v>94118</v>
      </c>
      <c r="G8" s="14" t="str">
        <f>'Complete List_09252026'!J289</f>
        <v>richard.rabbitt@stanfordalumni.org</v>
      </c>
      <c r="H8" s="14" t="str">
        <f>'Complete List_09252026'!K289</f>
        <v>Physical</v>
      </c>
      <c r="I8" s="14" t="str">
        <f>'Complete List_09252026'!L289</f>
        <v>Haight Ashbury, Inner Richmond, Presidio Heights, Western Addition</v>
      </c>
    </row>
    <row r="9" spans="1:10" s="14" customFormat="1" ht="17.45" customHeight="1" x14ac:dyDescent="0.25">
      <c r="A9" s="68" t="s">
        <v>1836</v>
      </c>
      <c r="B9" s="72"/>
      <c r="C9" s="72"/>
      <c r="D9" s="72"/>
      <c r="E9" s="72"/>
      <c r="F9" s="72"/>
      <c r="G9" s="72"/>
      <c r="H9" s="72"/>
      <c r="I9" s="72"/>
    </row>
    <row r="10" spans="1:10" s="14" customFormat="1" ht="75.599999999999994" customHeight="1" x14ac:dyDescent="0.25">
      <c r="A10" s="14" t="str">
        <f>'Complete List_09252026'!D35</f>
        <v>Board of Supervisors</v>
      </c>
      <c r="B10" s="14" t="str">
        <f>'Complete List_09252026'!C35</f>
        <v>Bilal Mahmood</v>
      </c>
      <c r="C10" s="14" t="str">
        <f>'Complete List_09252026'!E35</f>
        <v>1 Dr. Carlton B Goodlett Place, Room #244</v>
      </c>
      <c r="D10" s="14" t="str">
        <f>'Complete List_09252026'!F35</f>
        <v>San Francisco</v>
      </c>
      <c r="E10" s="14" t="str">
        <f>'Complete List_09252026'!G35</f>
        <v>CA</v>
      </c>
      <c r="F10" s="14" t="str">
        <f>'Complete List_09252026'!H35</f>
        <v>94102-4689</v>
      </c>
      <c r="G10" s="14" t="str">
        <f>'Complete List_09252026'!J35</f>
        <v xml:space="preserve">MahmoodStaff@sfgov.org; Raynell.Cooper@sfgov.org
</v>
      </c>
      <c r="H10" s="14" t="str">
        <f>'Complete List_09252026'!K35</f>
        <v>Both</v>
      </c>
      <c r="I10" s="14" t="str">
        <f>'Complete List_09252026'!L35</f>
        <v>Downtown/Civic Center, Haight Ashbury, Western Addition</v>
      </c>
    </row>
    <row r="11" spans="1:10" s="14" customFormat="1" ht="33" customHeight="1" x14ac:dyDescent="0.25">
      <c r="A11" s="14" t="str">
        <f>'Complete List_09252026'!D263</f>
        <v>SIPS Review Group</v>
      </c>
      <c r="B11" s="14" t="str">
        <f>'Complete List_09252026'!D263</f>
        <v>SIPS Review Group</v>
      </c>
      <c r="C11" s="14" t="str">
        <f>'Complete List_09252026'!E263</f>
        <v>62 Carmelita Street</v>
      </c>
      <c r="D11" s="14" t="str">
        <f>'Complete List_09252026'!F263</f>
        <v>San Francisco</v>
      </c>
      <c r="E11" s="14" t="str">
        <f>'Complete List_09252026'!G263</f>
        <v>CA</v>
      </c>
      <c r="F11" s="14">
        <f>'Complete List_09252026'!H263</f>
        <v>94117</v>
      </c>
      <c r="G11" s="14" t="str">
        <f>'Complete List_09252026'!J263</f>
        <v>pmmsfo@gmail.com</v>
      </c>
      <c r="H11" s="14" t="str">
        <f>'Complete List_09252026'!K263</f>
        <v>Both</v>
      </c>
      <c r="I11" s="14" t="str">
        <f>'Complete List_09252026'!L263</f>
        <v>Castro / Upper Market, Haight Ashbury, Western Addition</v>
      </c>
    </row>
    <row r="12" spans="1:10" s="26" customFormat="1" ht="18" customHeight="1" x14ac:dyDescent="0.25">
      <c r="A12" s="70" t="s">
        <v>1842</v>
      </c>
      <c r="B12" s="69"/>
      <c r="C12" s="69"/>
      <c r="D12" s="69"/>
      <c r="E12" s="69"/>
      <c r="F12" s="69"/>
      <c r="G12" s="69"/>
      <c r="H12" s="69"/>
      <c r="I12" s="69"/>
      <c r="J12" s="29"/>
    </row>
    <row r="13" spans="1:10" s="14" customFormat="1" ht="39.6" customHeight="1" x14ac:dyDescent="0.25">
      <c r="A13" s="14" t="str">
        <f>'Complete List_09252026'!D55</f>
        <v>Castro Upper Market Community Benefit District</v>
      </c>
      <c r="B13" s="14" t="str">
        <f>'Complete List_09252026'!C55</f>
        <v>Andrea Aiello</v>
      </c>
      <c r="C13" s="14" t="str">
        <f>'Complete List_09252026'!E55</f>
        <v>693 14th Street</v>
      </c>
      <c r="D13" s="14" t="str">
        <f>'Complete List_09252026'!F55</f>
        <v>San Francisco</v>
      </c>
      <c r="E13" s="14" t="str">
        <f>'Complete List_09252026'!G55</f>
        <v>CA</v>
      </c>
      <c r="F13" s="14" t="str">
        <f>'Complete List_09252026'!H55</f>
        <v>94114</v>
      </c>
      <c r="G13" s="14" t="str">
        <f>'Complete List_09252026'!J55</f>
        <v>ExecDirector@CastroCBD.org</v>
      </c>
      <c r="H13" s="14" t="str">
        <f>'Complete List_09252026'!K55</f>
        <v>Electronic</v>
      </c>
      <c r="I13" s="14" t="str">
        <f>'Complete List_09252026'!L55</f>
        <v>Castro/Upper Market, Haight Ashbury, Noe Valley</v>
      </c>
    </row>
    <row r="14" spans="1:10" s="14" customFormat="1" ht="39.6" customHeight="1" x14ac:dyDescent="0.25">
      <c r="A14" s="14" t="str">
        <f>'Complete List_09252026'!D68</f>
        <v>Cole Valley Improvement Association</v>
      </c>
      <c r="B14" s="14" t="str">
        <f>'Complete List_09252026'!C68</f>
        <v>Carole Glosenger</v>
      </c>
      <c r="C14" s="14" t="str">
        <f>'Complete List_09252026'!E68</f>
        <v>P.O. Box 170611</v>
      </c>
      <c r="D14" s="14" t="str">
        <f>'Complete List_09252026'!F68</f>
        <v>San Francisco</v>
      </c>
      <c r="E14" s="14" t="str">
        <f>'Complete List_09252026'!G68</f>
        <v>CA</v>
      </c>
      <c r="F14" s="14">
        <f>'Complete List_09252026'!H68</f>
        <v>94117</v>
      </c>
      <c r="G14" s="14" t="str">
        <f>'Complete List_09252026'!J68</f>
        <v>cviasf@aol.com</v>
      </c>
      <c r="H14" s="14" t="str">
        <f>'Complete List_09252026'!K68</f>
        <v>Electronic</v>
      </c>
      <c r="I14" s="14" t="str">
        <f>'Complete List_09252026'!L68</f>
        <v>Haight Ashbury</v>
      </c>
    </row>
    <row r="15" spans="1:10" s="14" customFormat="1" ht="26.45" customHeight="1" x14ac:dyDescent="0.25">
      <c r="A15" s="14" t="str">
        <f>'Complete List_09252026'!D192</f>
        <v>Mt. Olympus Neighbors Association</v>
      </c>
      <c r="B15" s="14" t="str">
        <f>'Complete List_09252026'!C192</f>
        <v>Dan Slaughter</v>
      </c>
      <c r="C15" s="14" t="str">
        <f>'Complete List_09252026'!E192</f>
        <v>379 Upper Terrace</v>
      </c>
      <c r="D15" s="14" t="str">
        <f>'Complete List_09252026'!F192</f>
        <v>San Francisco</v>
      </c>
      <c r="E15" s="14" t="str">
        <f>'Complete List_09252026'!G192</f>
        <v>CA</v>
      </c>
      <c r="F15" s="14" t="str">
        <f>'Complete List_09252026'!H192</f>
        <v>94117</v>
      </c>
      <c r="G15" s="14" t="str">
        <f>'Complete List_09252026'!J192</f>
        <v>dkslaughter@gmail.com</v>
      </c>
      <c r="H15" s="14" t="str">
        <f>'Complete List_09252026'!K192</f>
        <v>Electronic</v>
      </c>
      <c r="I15" s="14" t="str">
        <f>'Complete List_09252026'!L192</f>
        <v xml:space="preserve">Castro/Upper Market, Haight Ashbury </v>
      </c>
    </row>
    <row r="16" spans="1:10" s="14" customFormat="1" ht="39.6" customHeight="1" x14ac:dyDescent="0.25">
      <c r="A16" s="14" t="str">
        <f>'Complete List_09252026'!D209</f>
        <v>North of Panhandle Neighborhood Association</v>
      </c>
      <c r="B16" s="14" t="str">
        <f>'Complete List_09252026'!C209</f>
        <v>Meg  Rahner</v>
      </c>
      <c r="C16" s="14" t="str">
        <f>'Complete List_09252026'!E209</f>
        <v>1936 McAllister Street, #1</v>
      </c>
      <c r="D16" s="14" t="str">
        <f>'Complete List_09252026'!F209</f>
        <v>San Franicsco</v>
      </c>
      <c r="E16" s="14" t="str">
        <f>'Complete List_09252026'!G209</f>
        <v>CA</v>
      </c>
      <c r="F16" s="14">
        <f>'Complete List_09252026'!H209</f>
        <v>94115</v>
      </c>
      <c r="G16" s="14" t="str">
        <f>'Complete List_09252026'!J209</f>
        <v>board@nopna.org</v>
      </c>
      <c r="H16" s="14" t="str">
        <f>'Complete List_09252026'!K209</f>
        <v>Electronic</v>
      </c>
      <c r="I16" s="14" t="str">
        <f>'Complete List_09252026'!L209</f>
        <v>Haight Ashbury, Western Addition</v>
      </c>
    </row>
    <row r="17" spans="1:9" s="14" customFormat="1" ht="52.9" customHeight="1" x14ac:dyDescent="0.25">
      <c r="A17" s="14" t="str">
        <f>'Complete List_09252026'!D255</f>
        <v>San Francisco Land Use Coalition (SFLUC)</v>
      </c>
      <c r="B17" s="14" t="str">
        <f>'Complete List_09252026'!C255</f>
        <v>Gary Weiss</v>
      </c>
      <c r="C17" s="14" t="str">
        <f>'Complete List_09252026'!E255</f>
        <v>78 Mars Street</v>
      </c>
      <c r="D17" s="14" t="str">
        <f>'Complete List_09252026'!F255</f>
        <v>San Francisco</v>
      </c>
      <c r="E17" s="14" t="str">
        <f>'Complete List_09252026'!G255</f>
        <v>CA</v>
      </c>
      <c r="F17" s="14">
        <f>'Complete List_09252026'!H255</f>
        <v>94114</v>
      </c>
      <c r="G17" s="14" t="str">
        <f>'Complete List_09252026'!J255</f>
        <v>garysfx@gmail.com</v>
      </c>
      <c r="H17" s="14" t="str">
        <f>'Complete List_09252026'!K255</f>
        <v>Electronic</v>
      </c>
      <c r="I17" s="14" t="str">
        <f>'Complete List_09252026'!L255</f>
        <v>Castro/Upper Market, Diamond Heights, Glen Park, Haight Ashbury, Mission, Noe Valley, South of Market, Twin Peaks, Upper Market, Western Addition</v>
      </c>
    </row>
    <row r="18" spans="1:9" ht="79.150000000000006" customHeight="1" x14ac:dyDescent="0.25">
      <c r="A18" s="11" t="s">
        <v>265</v>
      </c>
      <c r="B18" s="11" t="s">
        <v>264</v>
      </c>
      <c r="C18" s="11" t="s">
        <v>266</v>
      </c>
      <c r="D18" s="11" t="s">
        <v>16</v>
      </c>
      <c r="E18" s="11" t="s">
        <v>17</v>
      </c>
      <c r="F18" s="14">
        <v>94134</v>
      </c>
      <c r="G18" s="11" t="s">
        <v>268</v>
      </c>
      <c r="H18" s="11" t="s">
        <v>63</v>
      </c>
      <c r="I18" s="11" t="s">
        <v>269</v>
      </c>
    </row>
    <row r="19" spans="1:9" ht="52.9" customHeight="1" x14ac:dyDescent="0.25">
      <c r="A19" s="5" t="str">
        <f>'Complete List_09252026'!D9</f>
        <v>318 Frederick St. Tenancy In Common Owner's Association and Board</v>
      </c>
      <c r="B19" s="5" t="str">
        <f>'Complete List_09252026'!C9</f>
        <v>Michelle Brown</v>
      </c>
      <c r="C19" s="5" t="str">
        <f>'Complete List_09252026'!E9</f>
        <v>318 Frederick Street</v>
      </c>
      <c r="D19" s="5" t="str">
        <f>'Complete List_09252026'!F9</f>
        <v>San Francisco</v>
      </c>
      <c r="E19" s="5" t="str">
        <f>'Complete List_09252026'!G9</f>
        <v>CA</v>
      </c>
      <c r="F19" s="5">
        <f>'Complete List_09252026'!H9</f>
        <v>94117</v>
      </c>
      <c r="G19" s="5" t="str">
        <f>'Complete List_09252026'!J9</f>
        <v>brownmi@stanford.edu</v>
      </c>
      <c r="H19" s="5" t="str">
        <f>'Complete List_09252026'!K9</f>
        <v>Electronic</v>
      </c>
      <c r="I19" s="5" t="str">
        <f>'Complete List_09252026'!L9</f>
        <v>Haight Ashbury</v>
      </c>
    </row>
    <row r="20" spans="1:9" ht="39.6" customHeight="1" x14ac:dyDescent="0.25">
      <c r="A20" s="5" t="str">
        <f>'Complete List_09252026'!D124</f>
        <v>Haight Ashbury Panhandle Tenants Into Community (HAPTIC)</v>
      </c>
      <c r="B20" s="5" t="str">
        <f>'Complete List_09252026'!C124</f>
        <v>Nick Chapman</v>
      </c>
      <c r="C20" s="5" t="str">
        <f>'Complete List_09252026'!E124</f>
        <v>1484 Page Street</v>
      </c>
      <c r="D20" s="5" t="str">
        <f>'Complete List_09252026'!F124</f>
        <v>San Francisco</v>
      </c>
      <c r="E20" s="5" t="str">
        <f>'Complete List_09252026'!G124</f>
        <v>CA</v>
      </c>
      <c r="F20" s="5">
        <f>'Complete List_09252026'!H124</f>
        <v>94117</v>
      </c>
      <c r="G20" s="5" t="str">
        <f>'Complete List_09252026'!J124</f>
        <v>sfhaptic@gmail.com</v>
      </c>
      <c r="H20" s="5" t="str">
        <f>'Complete List_09252026'!K124</f>
        <v>Electronic</v>
      </c>
      <c r="I20" s="5" t="str">
        <f>'Complete List_09252026'!L124</f>
        <v>Golden Gate Park, Haight Ashbury, Western Addition</v>
      </c>
    </row>
  </sheetData>
  <autoFilter ref="A1:I1" xr:uid="{00000000-0009-0000-0000-00000D000000}">
    <sortState xmlns:xlrd2="http://schemas.microsoft.com/office/spreadsheetml/2017/richdata2" ref="A2:I13">
      <sortCondition descending="1" ref="H1"/>
    </sortState>
  </autoFilter>
  <mergeCells count="3">
    <mergeCell ref="A12:I12"/>
    <mergeCell ref="A9:I9"/>
    <mergeCell ref="A2:I2"/>
  </mergeCells>
  <pageMargins left="0.7" right="0.7" top="0.75" bottom="0.75" header="0.3" footer="0.3"/>
  <pageSetup scale="52" orientation="landscape" horizontalDpi="4294967292" verticalDpi="429496729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J18"/>
  <sheetViews>
    <sheetView zoomScale="75" zoomScaleNormal="75" zoomScalePageLayoutView="75" workbookViewId="0">
      <selection activeCell="A19" sqref="A19:XFD19"/>
    </sheetView>
  </sheetViews>
  <sheetFormatPr defaultColWidth="8.85546875" defaultRowHeight="12.75" x14ac:dyDescent="0.25"/>
  <cols>
    <col min="1" max="1" width="20.7109375" style="5" customWidth="1"/>
    <col min="2" max="2" width="24.7109375" style="5" customWidth="1"/>
    <col min="3" max="3" width="33.140625" style="5" customWidth="1"/>
    <col min="4" max="4" width="14.85546875" style="5" customWidth="1"/>
    <col min="5" max="5" width="9.7109375" style="5" customWidth="1"/>
    <col min="6" max="6" width="10" style="8" customWidth="1"/>
    <col min="7" max="7" width="27.28515625" style="5" customWidth="1"/>
    <col min="8" max="8" width="35.28515625" style="5" customWidth="1"/>
    <col min="9" max="9" width="36.42578125" style="5" customWidth="1"/>
    <col min="10" max="10" width="8.85546875" style="5" customWidth="1"/>
    <col min="11" max="16384" width="8.85546875" style="5"/>
  </cols>
  <sheetData>
    <row r="1" spans="1:10" s="4" customFormat="1" ht="18" customHeight="1" x14ac:dyDescent="0.25">
      <c r="A1" s="4" t="s">
        <v>3</v>
      </c>
      <c r="B1" s="4" t="str">
        <f>'Complete List_09252026'!C1</f>
        <v>NAME</v>
      </c>
      <c r="C1" s="4" t="str">
        <f>'Complete List_09252026'!E1</f>
        <v>ADDRESS</v>
      </c>
      <c r="D1" s="4" t="str">
        <f>'Complete List_09252026'!F1</f>
        <v>CITY</v>
      </c>
      <c r="E1" s="4" t="str">
        <f>'Complete List_09252026'!G1</f>
        <v>STATE</v>
      </c>
      <c r="F1" s="10" t="str">
        <f>'Complete List_09252026'!H1</f>
        <v>ZIP</v>
      </c>
      <c r="G1" s="4" t="str">
        <f>'Complete List_09252026'!J1</f>
        <v>EMAIL</v>
      </c>
      <c r="H1" s="4" t="s">
        <v>10</v>
      </c>
      <c r="I1" s="4" t="str">
        <f>'Complete List_09252026'!L1</f>
        <v>NEIGHBORHOOD OF INTEREST</v>
      </c>
    </row>
    <row r="2" spans="1:10" s="26" customFormat="1" ht="18" customHeight="1" x14ac:dyDescent="0.25">
      <c r="A2" s="71" t="s">
        <v>1835</v>
      </c>
      <c r="B2" s="69"/>
      <c r="C2" s="69"/>
      <c r="D2" s="69"/>
      <c r="E2" s="69"/>
      <c r="F2" s="69"/>
      <c r="G2" s="69"/>
      <c r="H2" s="69"/>
      <c r="I2" s="69"/>
      <c r="J2" s="28"/>
    </row>
    <row r="3" spans="1:10" s="14" customFormat="1" ht="39.6" customHeight="1" x14ac:dyDescent="0.25">
      <c r="A3" s="14" t="str">
        <f>'Complete List_09252026'!D48</f>
        <v>Cabrillo Alley Neighbors Association</v>
      </c>
      <c r="B3" s="14" t="str">
        <f>'Complete List_09252026'!C48</f>
        <v xml:space="preserve">John Hou </v>
      </c>
      <c r="C3" s="14" t="str">
        <f>'Complete List_09252026'!E48</f>
        <v>742 4th Avenue</v>
      </c>
      <c r="D3" s="14" t="str">
        <f>'Complete List_09252026'!F48</f>
        <v>San Francisco</v>
      </c>
      <c r="E3" s="14" t="str">
        <f>'Complete List_09252026'!G48</f>
        <v>CA</v>
      </c>
      <c r="F3" s="14">
        <f>'Complete List_09252026'!H48</f>
        <v>94118</v>
      </c>
      <c r="G3" s="14" t="str">
        <f>'Complete List_09252026'!J48</f>
        <v>cabrillo-alley-neighbors-association@googlegroups.com</v>
      </c>
      <c r="H3" s="14" t="str">
        <f>'Complete List_09252026'!K48</f>
        <v>Physical</v>
      </c>
      <c r="I3" s="14" t="str">
        <f>'Complete List_09252026'!L48</f>
        <v>Inner Richmond</v>
      </c>
    </row>
    <row r="4" spans="1:10" s="14" customFormat="1" ht="26.45" customHeight="1" x14ac:dyDescent="0.25">
      <c r="A4" s="14" t="str">
        <f>'Complete List_09252026'!D122</f>
        <v>Haight Ashbury Neighborhood Council</v>
      </c>
      <c r="B4" s="14" t="str">
        <f>'Complete List_09252026'!C122</f>
        <v>Land Use and Housing Chair</v>
      </c>
      <c r="C4" s="14" t="str">
        <f>'Complete List_09252026'!E122</f>
        <v>P.O. Box 170518</v>
      </c>
      <c r="D4" s="14" t="str">
        <f>'Complete List_09252026'!F122</f>
        <v>San Francisco</v>
      </c>
      <c r="E4" s="14" t="str">
        <f>'Complete List_09252026'!G122</f>
        <v>CA</v>
      </c>
      <c r="F4" s="14" t="str">
        <f>'Complete List_09252026'!H122</f>
        <v>94117</v>
      </c>
      <c r="G4" s="14" t="str">
        <f>'Complete List_09252026'!J122</f>
        <v>info@hanc-sf.org</v>
      </c>
      <c r="H4" s="14" t="str">
        <f>'Complete List_09252026'!K122</f>
        <v>Physical</v>
      </c>
      <c r="I4" s="14" t="str">
        <f>'Complete List_09252026'!L122</f>
        <v>Haight Ashbury, Inner Sunset, Golden Gate Park</v>
      </c>
    </row>
    <row r="5" spans="1:10" s="14" customFormat="1" ht="52.9" customHeight="1" x14ac:dyDescent="0.25">
      <c r="A5" s="14" t="str">
        <f>'Complete List_09252026'!D132</f>
        <v>Housing Rights Committee of San Francisco</v>
      </c>
      <c r="B5" s="14" t="str">
        <f>'Complete List_09252026'!C132</f>
        <v>Sarah Sherburn-Zimmer</v>
      </c>
      <c r="C5" s="14" t="str">
        <f>'Complete List_09252026'!E132</f>
        <v>1663 Mission Street, Suite 504</v>
      </c>
      <c r="D5" s="14" t="str">
        <f>'Complete List_09252026'!F132</f>
        <v>San Francisco</v>
      </c>
      <c r="E5" s="14" t="str">
        <f>'Complete List_09252026'!G132</f>
        <v>CA</v>
      </c>
      <c r="F5" s="14">
        <f>'Complete List_09252026'!H132</f>
        <v>94103</v>
      </c>
      <c r="G5" s="14" t="str">
        <f>'Complete List_09252026'!J132</f>
        <v>fred@hrcsf.org</v>
      </c>
      <c r="H5" s="14" t="str">
        <f>'Complete List_09252026'!K132</f>
        <v>Physical</v>
      </c>
      <c r="I5" s="14" t="str">
        <f>'Complete List_09252026'!L132</f>
        <v>Golden Gate Park, Inner Richmond, Inner Sunset, Lakeshore, Outer Richmond, Outer Sunset, Parkside, West of Twin Peaks</v>
      </c>
    </row>
    <row r="6" spans="1:10" s="14" customFormat="1" ht="39.6" customHeight="1" x14ac:dyDescent="0.25">
      <c r="A6" s="14" t="str">
        <f>'Complete List_09252026'!D144</f>
        <v>Jordan Park Improvement Assocation</v>
      </c>
      <c r="B6" s="14" t="str">
        <f>'Complete List_09252026'!C144</f>
        <v>Rose Hillson</v>
      </c>
      <c r="C6" s="14" t="str">
        <f>'Complete List_09252026'!E144</f>
        <v>115 Parker Avenue</v>
      </c>
      <c r="D6" s="14" t="str">
        <f>'Complete List_09252026'!F144</f>
        <v>San Francisco</v>
      </c>
      <c r="E6" s="14" t="str">
        <f>'Complete List_09252026'!G144</f>
        <v>CA</v>
      </c>
      <c r="F6" s="14" t="str">
        <f>'Complete List_09252026'!H144</f>
        <v>94118-2607</v>
      </c>
      <c r="G6" s="14">
        <f>'Complete List_09252026'!J144</f>
        <v>0</v>
      </c>
      <c r="H6" s="14" t="str">
        <f>'Complete List_09252026'!K144</f>
        <v>Physical</v>
      </c>
      <c r="I6" s="14" t="str">
        <f>'Complete List_09252026'!L144</f>
        <v>Inner Richmond, Marina, Pacific Heights, Presidio Heights, Outer Richmond, Seacliff</v>
      </c>
    </row>
    <row r="7" spans="1:10" s="14" customFormat="1" ht="39.6" customHeight="1" x14ac:dyDescent="0.25">
      <c r="A7" s="14" t="str">
        <f>'Complete List_09252026'!D151</f>
        <v>Laurel Heights Improvement Association of SF, Inc.</v>
      </c>
      <c r="B7" s="14" t="str">
        <f>'Complete List_09252026'!C151</f>
        <v>Kathryn Devincenzi</v>
      </c>
      <c r="C7" s="14" t="str">
        <f>'Complete List_09252026'!E151</f>
        <v>22 Iris Avenue</v>
      </c>
      <c r="D7" s="14" t="str">
        <f>'Complete List_09252026'!F151</f>
        <v>San Francisco</v>
      </c>
      <c r="E7" s="14" t="str">
        <f>'Complete List_09252026'!G151</f>
        <v>CA</v>
      </c>
      <c r="F7" s="14">
        <f>'Complete List_09252026'!H151</f>
        <v>94118</v>
      </c>
      <c r="G7" s="14" t="str">
        <f>'Complete List_09252026'!J151</f>
        <v>KRDevincenzi@gmail.com</v>
      </c>
      <c r="H7" s="14" t="str">
        <f>'Complete List_09252026'!K151</f>
        <v>Physical</v>
      </c>
      <c r="I7" s="14" t="str">
        <f>'Complete List_09252026'!L151</f>
        <v>Inner Richmond, Pacific Heights, Presidio Heights</v>
      </c>
    </row>
    <row r="8" spans="1:10" s="14" customFormat="1" ht="25.5" x14ac:dyDescent="0.25">
      <c r="A8" s="14" t="str">
        <f>'Complete List_09252026'!D178</f>
        <v>Mid-Richmond Coalition</v>
      </c>
      <c r="B8" s="14" t="str">
        <f>'Complete List_09252026'!C178</f>
        <v>Megan Sullivan</v>
      </c>
      <c r="C8" s="14" t="str">
        <f>'Complete List_09252026'!E178</f>
        <v>376 17th Avenue</v>
      </c>
      <c r="D8" s="14" t="str">
        <f>'Complete List_09252026'!F178</f>
        <v>San Francisco</v>
      </c>
      <c r="E8" s="14" t="str">
        <f>'Complete List_09252026'!G178</f>
        <v>CA</v>
      </c>
      <c r="F8" s="14" t="str">
        <f>'Complete List_09252026'!H178</f>
        <v>94121</v>
      </c>
      <c r="G8" s="14" t="str">
        <f>'Complete List_09252026'!J178</f>
        <v>sulliblums@gmail.com</v>
      </c>
      <c r="H8" s="14" t="str">
        <f>'Complete List_09252026'!K178</f>
        <v>Physical</v>
      </c>
      <c r="I8" s="14" t="str">
        <f>'Complete List_09252026'!L178</f>
        <v>Inner Richmond, Outer Richmond</v>
      </c>
    </row>
    <row r="9" spans="1:10" s="14" customFormat="1" ht="26.45" customHeight="1" x14ac:dyDescent="0.25">
      <c r="A9" s="14" t="str">
        <f>'Complete List_09252026'!D289</f>
        <v>Temescal Terrace Association</v>
      </c>
      <c r="B9" s="14" t="str">
        <f>'Complete List_09252026'!C289</f>
        <v>Richard Rabbitt</v>
      </c>
      <c r="C9" s="14" t="str">
        <f>'Complete List_09252026'!E289</f>
        <v>55 Temescal Terrace</v>
      </c>
      <c r="D9" s="14" t="str">
        <f>'Complete List_09252026'!F289</f>
        <v>San Francisco</v>
      </c>
      <c r="E9" s="14" t="str">
        <f>'Complete List_09252026'!G289</f>
        <v>CA</v>
      </c>
      <c r="F9" s="14" t="str">
        <f>'Complete List_09252026'!H289</f>
        <v>94118</v>
      </c>
      <c r="G9" s="14" t="str">
        <f>'Complete List_09252026'!J289</f>
        <v>richard.rabbitt@stanfordalumni.org</v>
      </c>
      <c r="H9" s="14" t="str">
        <f>'Complete List_09252026'!K289</f>
        <v>Physical</v>
      </c>
      <c r="I9" s="14" t="str">
        <f>'Complete List_09252026'!L289</f>
        <v>Haight Ashbury, Inner Richmond, Presidio Heights, Western Addition</v>
      </c>
    </row>
    <row r="10" spans="1:10" s="14" customFormat="1" ht="17.45" customHeight="1" x14ac:dyDescent="0.25">
      <c r="A10" s="68" t="s">
        <v>1836</v>
      </c>
      <c r="B10" s="72"/>
      <c r="C10" s="72"/>
      <c r="D10" s="72"/>
      <c r="E10" s="72"/>
      <c r="F10" s="72"/>
      <c r="G10" s="72"/>
      <c r="H10" s="72"/>
      <c r="I10" s="72"/>
    </row>
    <row r="11" spans="1:10" s="14" customFormat="1" ht="80.099999999999994" customHeight="1" x14ac:dyDescent="0.25">
      <c r="A11" s="14" t="str">
        <f>'Complete List_09252026'!D39</f>
        <v>Board of Supervisors</v>
      </c>
      <c r="B11" s="14" t="str">
        <f>'Complete List_09252026'!C39</f>
        <v xml:space="preserve">Connie Chan </v>
      </c>
      <c r="C11" s="14" t="str">
        <f>'Complete List_09252026'!E39</f>
        <v>1 Dr. Carlton B Goodlett Place, Room #244</v>
      </c>
      <c r="D11" s="14" t="str">
        <f>'Complete List_09252026'!F39</f>
        <v>San Francisco</v>
      </c>
      <c r="E11" s="14" t="str">
        <f>'Complete List_09252026'!G39</f>
        <v>CA</v>
      </c>
      <c r="F11" s="14" t="str">
        <f>'Complete List_09252026'!H39</f>
        <v>94102-4689</v>
      </c>
      <c r="G11" s="14" t="str">
        <f>'Complete List_09252026'!J39</f>
        <v>connie.chan@sfgov.org;
ian.fregosi@sfgov.org;
frances.hsieh@sfgov.org;
kelly.groth@sfgov.org;
angelina.yu@sfgov.org;
ChanStaff@sfgov.org</v>
      </c>
      <c r="H11" s="14" t="str">
        <f>'Complete List_09252026'!K39</f>
        <v>Both</v>
      </c>
      <c r="I11" s="14" t="str">
        <f>'Complete List_09252026'!L39</f>
        <v>Inner Richmond, Outer Richmond, Seacliff</v>
      </c>
    </row>
    <row r="12" spans="1:10" s="26" customFormat="1" ht="18" customHeight="1" x14ac:dyDescent="0.25">
      <c r="A12" s="70" t="s">
        <v>1842</v>
      </c>
      <c r="B12" s="69"/>
      <c r="C12" s="69"/>
      <c r="D12" s="69"/>
      <c r="E12" s="69"/>
      <c r="F12" s="69"/>
      <c r="G12" s="69"/>
      <c r="H12" s="69"/>
      <c r="I12" s="69"/>
      <c r="J12" s="29"/>
    </row>
    <row r="13" spans="1:10" s="14" customFormat="1" ht="26.45" customHeight="1" x14ac:dyDescent="0.25">
      <c r="A13" s="14" t="str">
        <f>'Complete List_09252026'!D237</f>
        <v>Richmond District Rising</v>
      </c>
      <c r="B13" s="14" t="str">
        <f>'Complete List_09252026'!C237</f>
        <v>Joseph Smooke</v>
      </c>
      <c r="C13" s="14" t="str">
        <f>'Complete List_09252026'!E237</f>
        <v>366 10th Ave</v>
      </c>
      <c r="D13" s="14" t="str">
        <f>'Complete List_09252026'!F237</f>
        <v>San Francisco</v>
      </c>
      <c r="E13" s="14" t="str">
        <f>'Complete List_09252026'!G237</f>
        <v>CA</v>
      </c>
      <c r="F13" s="14">
        <f>'Complete List_09252026'!H237</f>
        <v>94118</v>
      </c>
      <c r="G13" s="14" t="str">
        <f>'Complete List_09252026'!J237</f>
        <v>joseph_smooke@yahoo.com</v>
      </c>
      <c r="H13" s="14" t="str">
        <f>'Complete List_09252026'!K237</f>
        <v>Electronic</v>
      </c>
      <c r="I13" s="14" t="str">
        <f>'Complete List_09252026'!L237</f>
        <v>Inner Richmond, Outer Richmond</v>
      </c>
    </row>
    <row r="14" spans="1:10" s="14" customFormat="1" ht="26.45" customHeight="1" x14ac:dyDescent="0.25">
      <c r="A14" s="14" t="str">
        <f>'Complete List_09252026'!D120</f>
        <v>Grow the Richmond</v>
      </c>
      <c r="B14" s="14" t="str">
        <f>'Complete List_09252026'!C120</f>
        <v>Jane Natoli</v>
      </c>
      <c r="C14" s="14" t="str">
        <f>'Complete List_09252026'!E120</f>
        <v>759 6th Ave #7</v>
      </c>
      <c r="D14" s="14" t="str">
        <f>'Complete List_09252026'!F120</f>
        <v>San Francisco</v>
      </c>
      <c r="E14" s="14" t="str">
        <f>'Complete List_09252026'!G120</f>
        <v>CA</v>
      </c>
      <c r="F14" s="14">
        <f>'Complete List_09252026'!H120</f>
        <v>94118</v>
      </c>
      <c r="G14" s="14" t="str">
        <f>'Complete List_09252026'!J120</f>
        <v>hello@growtherichmond.com</v>
      </c>
      <c r="H14" s="14" t="str">
        <f>'Complete List_09252026'!K120</f>
        <v>Electronic</v>
      </c>
      <c r="I14" s="14" t="str">
        <f>'Complete List_09252026'!L120</f>
        <v>Inner Richmond, Outer Richmond, Presidio Heights, Seacliff</v>
      </c>
    </row>
    <row r="15" spans="1:10" s="14" customFormat="1" ht="26.45" customHeight="1" x14ac:dyDescent="0.25">
      <c r="A15" s="14" t="str">
        <f>'Complete List_09252026'!D229</f>
        <v>Planning Association for the Richmond (PAR)</v>
      </c>
      <c r="B15" s="14" t="str">
        <f>'Complete List_09252026'!C229</f>
        <v>Dan Baroni</v>
      </c>
      <c r="C15" s="14" t="str">
        <f>'Complete List_09252026'!E229</f>
        <v>2828  Fulton Street</v>
      </c>
      <c r="D15" s="14" t="str">
        <f>'Complete List_09252026'!F229</f>
        <v>San Francisco</v>
      </c>
      <c r="E15" s="14" t="str">
        <f>'Complete List_09252026'!G229</f>
        <v>CA</v>
      </c>
      <c r="F15" s="14" t="str">
        <f>'Complete List_09252026'!H229</f>
        <v>94118-3300</v>
      </c>
      <c r="G15" s="14" t="str">
        <f>'Complete List_09252026'!J229</f>
        <v>dmbaroni@mac.com; sfparlanduse@gmail.com</v>
      </c>
      <c r="H15" s="14" t="str">
        <f>'Complete List_09252026'!K229</f>
        <v>Electronic</v>
      </c>
      <c r="I15" s="14" t="str">
        <f>'Complete List_09252026'!L229</f>
        <v>Inner Richmond, Outer Richmond, Seacliff</v>
      </c>
    </row>
    <row r="16" spans="1:10" s="14" customFormat="1" ht="35.1" customHeight="1" x14ac:dyDescent="0.25">
      <c r="A16" s="14" t="str">
        <f>'Complete List_09252026'!D247</f>
        <v>Self-Help for the Elderly</v>
      </c>
      <c r="B16" s="14" t="str">
        <f>'Complete List_09252026'!C247</f>
        <v>Anni Chung</v>
      </c>
      <c r="C16" s="14" t="str">
        <f>'Complete List_09252026'!E247</f>
        <v>731 Sansome Street, Suite 1000</v>
      </c>
      <c r="D16" s="14" t="str">
        <f>'Complete List_09252026'!F247</f>
        <v>San Francisco</v>
      </c>
      <c r="E16" s="14" t="str">
        <f>'Complete List_09252026'!G247</f>
        <v>CA</v>
      </c>
      <c r="F16" s="14" t="str">
        <f>'Complete List_09252026'!H247</f>
        <v>94111</v>
      </c>
      <c r="G16" s="14" t="str">
        <f>'Complete List_09252026'!J247</f>
        <v>annic@selfhelpelderly.org</v>
      </c>
      <c r="H16" s="14" t="str">
        <f>'Complete List_09252026'!K247</f>
        <v>Electronic</v>
      </c>
      <c r="I16" s="14" t="str">
        <f>'Complete List_09252026'!L247</f>
        <v>Chinatown, Inner Richmond, Inner Sunset, Outer Richmond, Outer Sunset</v>
      </c>
    </row>
    <row r="17" spans="1:9" s="14" customFormat="1" ht="26.45" customHeight="1" x14ac:dyDescent="0.25">
      <c r="A17" s="14" t="str">
        <f>'Complete List_09252026'!D301</f>
        <v>University Terrace Association</v>
      </c>
      <c r="B17" s="14" t="str">
        <f>'Complete List_09252026'!C301</f>
        <v>Niall Vignoles</v>
      </c>
      <c r="C17" s="14" t="str">
        <f>'Complete List_09252026'!E301</f>
        <v>52 Roselyn Terrace</v>
      </c>
      <c r="D17" s="14" t="str">
        <f>'Complete List_09252026'!F301</f>
        <v>San Francisco</v>
      </c>
      <c r="E17" s="14" t="str">
        <f>'Complete List_09252026'!G301</f>
        <v>CA</v>
      </c>
      <c r="F17" s="14">
        <f>'Complete List_09252026'!H301</f>
        <v>94118</v>
      </c>
      <c r="G17" s="14" t="str">
        <f>'Complete List_09252026'!J301</f>
        <v>universityterraceassociation@yahoo.com</v>
      </c>
      <c r="H17" s="14" t="str">
        <f>'Complete List_09252026'!K301</f>
        <v>Electronic</v>
      </c>
      <c r="I17" s="14" t="str">
        <f>'Complete List_09252026'!L301</f>
        <v xml:space="preserve">Inner Richmond  </v>
      </c>
    </row>
    <row r="18" spans="1:9" ht="26.45" customHeight="1" x14ac:dyDescent="0.25">
      <c r="A18" s="5" t="str">
        <f>'Complete List_09252026'!D312</f>
        <v>Westside Community Coalition</v>
      </c>
      <c r="B18" s="5" t="str">
        <f>'Complete List_09252026'!C312</f>
        <v>Joseph Smooke</v>
      </c>
      <c r="C18" s="5" t="str">
        <f>'Complete List_09252026'!E312</f>
        <v>366 10th Ave</v>
      </c>
      <c r="D18" s="5" t="str">
        <f>'Complete List_09252026'!F312</f>
        <v>San Francisco</v>
      </c>
      <c r="E18" s="5" t="str">
        <f>'Complete List_09252026'!G312</f>
        <v>CA</v>
      </c>
      <c r="F18" s="5">
        <f>'Complete List_09252026'!H312</f>
        <v>94118</v>
      </c>
      <c r="G18" s="5" t="str">
        <f>'Complete List_09252026'!J312</f>
        <v>joseph_smooke@yahoo.com</v>
      </c>
      <c r="H18" s="5" t="str">
        <f>'Complete List_09252026'!K312</f>
        <v>Electronic</v>
      </c>
      <c r="I18" s="5" t="str">
        <f>'Complete List_09252026'!L312</f>
        <v>Inner Richmond, Inner Sunset, Lakeshore, Outer Richmond, Outer Sunset, Parkside</v>
      </c>
    </row>
  </sheetData>
  <autoFilter ref="A1:I1" xr:uid="{00000000-0009-0000-0000-00000E000000}">
    <sortState xmlns:xlrd2="http://schemas.microsoft.com/office/spreadsheetml/2017/richdata2" ref="A2:I15">
      <sortCondition descending="1" ref="H1"/>
    </sortState>
  </autoFilter>
  <mergeCells count="3">
    <mergeCell ref="A10:I10"/>
    <mergeCell ref="A12:I12"/>
    <mergeCell ref="A2:I2"/>
  </mergeCells>
  <pageMargins left="0.7" right="0.7" top="0.75" bottom="0.75" header="0.3" footer="0.3"/>
  <pageSetup scale="52"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J22"/>
  <sheetViews>
    <sheetView topLeftCell="A9" zoomScale="75" zoomScaleNormal="75" zoomScalePageLayoutView="75" workbookViewId="0">
      <selection activeCell="A23" sqref="A23"/>
    </sheetView>
  </sheetViews>
  <sheetFormatPr defaultColWidth="8.85546875" defaultRowHeight="12.75" x14ac:dyDescent="0.25"/>
  <cols>
    <col min="1" max="1" width="20.7109375" style="5" customWidth="1"/>
    <col min="2" max="2" width="24.7109375" style="5" customWidth="1"/>
    <col min="3" max="3" width="33.140625" style="5" customWidth="1"/>
    <col min="4" max="4" width="14.85546875" style="5" customWidth="1"/>
    <col min="5" max="5" width="9.7109375" style="5" customWidth="1"/>
    <col min="6" max="6" width="10" style="8" customWidth="1"/>
    <col min="7" max="7" width="27.28515625" style="5" customWidth="1"/>
    <col min="8" max="8" width="35.28515625" style="5" customWidth="1"/>
    <col min="9" max="9" width="36.42578125" style="5" customWidth="1"/>
    <col min="10" max="10" width="8.85546875" style="5" customWidth="1"/>
    <col min="11" max="16384" width="8.85546875" style="5"/>
  </cols>
  <sheetData>
    <row r="1" spans="1:10" s="4" customFormat="1" ht="18" customHeight="1" x14ac:dyDescent="0.25">
      <c r="A1" s="4" t="s">
        <v>3</v>
      </c>
      <c r="B1" s="4" t="str">
        <f>'Complete List_09252026'!C1</f>
        <v>NAME</v>
      </c>
      <c r="C1" s="4" t="str">
        <f>'Complete List_09252026'!E1</f>
        <v>ADDRESS</v>
      </c>
      <c r="D1" s="4" t="str">
        <f>'Complete List_09252026'!F1</f>
        <v>CITY</v>
      </c>
      <c r="E1" s="4" t="str">
        <f>'Complete List_09252026'!G1</f>
        <v>STATE</v>
      </c>
      <c r="F1" s="10" t="str">
        <f>'Complete List_09252026'!H1</f>
        <v>ZIP</v>
      </c>
      <c r="G1" s="4" t="str">
        <f>'Complete List_09252026'!J1</f>
        <v>EMAIL</v>
      </c>
      <c r="H1" s="4" t="s">
        <v>10</v>
      </c>
      <c r="I1" s="4" t="str">
        <f>'Complete List_09252026'!L1</f>
        <v>NEIGHBORHOOD OF INTEREST</v>
      </c>
    </row>
    <row r="2" spans="1:10" s="26" customFormat="1" ht="18" customHeight="1" x14ac:dyDescent="0.25">
      <c r="A2" s="71" t="s">
        <v>1835</v>
      </c>
      <c r="B2" s="69"/>
      <c r="C2" s="69"/>
      <c r="D2" s="69"/>
      <c r="E2" s="69"/>
      <c r="F2" s="69"/>
      <c r="G2" s="69"/>
      <c r="H2" s="69"/>
      <c r="I2" s="69"/>
      <c r="J2" s="28"/>
    </row>
    <row r="3" spans="1:10" s="14" customFormat="1" ht="39.6" customHeight="1" x14ac:dyDescent="0.25">
      <c r="A3" s="14" t="str">
        <f>'Complete List_09252026'!D91</f>
        <v>Edgewood Neighborhood Association</v>
      </c>
      <c r="B3" s="14" t="str">
        <f>'Complete List_09252026'!C91</f>
        <v>Sarah Jones</v>
      </c>
      <c r="C3" s="14" t="str">
        <f>'Complete List_09252026'!E91</f>
        <v>190 Edgewood Ave</v>
      </c>
      <c r="D3" s="14" t="str">
        <f>'Complete List_09252026'!F91</f>
        <v>San Francisco</v>
      </c>
      <c r="E3" s="14" t="str">
        <f>'Complete List_09252026'!G91</f>
        <v>CA</v>
      </c>
      <c r="F3" s="14" t="str">
        <f>'Complete List_09252026'!H91</f>
        <v>94117</v>
      </c>
      <c r="G3" s="14" t="str">
        <f>'Complete List_09252026'!J91</f>
        <v>sarahsmithjones@gmail.com</v>
      </c>
      <c r="H3" s="14" t="str">
        <f>'Complete List_09252026'!K91</f>
        <v>Physical</v>
      </c>
      <c r="I3" s="14" t="str">
        <f>'Complete List_09252026'!L91</f>
        <v>Inner Sunset</v>
      </c>
    </row>
    <row r="4" spans="1:10" s="14" customFormat="1" ht="52.9" customHeight="1" x14ac:dyDescent="0.25">
      <c r="A4" s="14" t="str">
        <f>'Complete List_09252026'!D132</f>
        <v>Housing Rights Committee of San Francisco</v>
      </c>
      <c r="B4" s="14" t="str">
        <f>'Complete List_09252026'!C132</f>
        <v>Sarah Sherburn-Zimmer</v>
      </c>
      <c r="C4" s="14" t="str">
        <f>'Complete List_09252026'!E132</f>
        <v>1663 Mission Street, Suite 504</v>
      </c>
      <c r="D4" s="14" t="str">
        <f>'Complete List_09252026'!F132</f>
        <v>San Francisco</v>
      </c>
      <c r="E4" s="14" t="str">
        <f>'Complete List_09252026'!G132</f>
        <v>CA</v>
      </c>
      <c r="F4" s="14">
        <f>'Complete List_09252026'!H132</f>
        <v>94103</v>
      </c>
      <c r="G4" s="14" t="str">
        <f>'Complete List_09252026'!J132</f>
        <v>fred@hrcsf.org</v>
      </c>
      <c r="H4" s="14" t="str">
        <f>'Complete List_09252026'!K132</f>
        <v>Physical</v>
      </c>
      <c r="I4" s="14" t="str">
        <f>'Complete List_09252026'!L132</f>
        <v>Golden Gate Park, Inner Richmond, Inner Sunset, Lakeshore, Outer Richmond, Outer Sunset, Parkside, West of Twin Peaks</v>
      </c>
    </row>
    <row r="5" spans="1:10" s="14" customFormat="1" ht="39.6" customHeight="1" x14ac:dyDescent="0.25">
      <c r="A5" s="14" t="str">
        <f>'Complete List_09252026'!D136</f>
        <v>Inner Sunset Neighborhood Association</v>
      </c>
      <c r="B5" s="14" t="str">
        <f>'Complete List_09252026'!C136</f>
        <v>Cheryl L. Switzer</v>
      </c>
      <c r="C5" s="14" t="str">
        <f>'Complete List_09252026'!E136</f>
        <v>1309 - 12th Avenue</v>
      </c>
      <c r="D5" s="14" t="str">
        <f>'Complete List_09252026'!F136</f>
        <v>San Francisco</v>
      </c>
      <c r="E5" s="14" t="str">
        <f>'Complete List_09252026'!G136</f>
        <v>CA</v>
      </c>
      <c r="F5" s="14" t="str">
        <f>'Complete List_09252026'!H136</f>
        <v>94122</v>
      </c>
      <c r="G5" s="14">
        <f>'Complete List_09252026'!J136</f>
        <v>0</v>
      </c>
      <c r="H5" s="14" t="str">
        <f>'Complete List_09252026'!K136</f>
        <v>Physical</v>
      </c>
      <c r="I5" s="14" t="str">
        <f>'Complete List_09252026'!L136</f>
        <v>Inner Sunset</v>
      </c>
    </row>
    <row r="6" spans="1:10" s="14" customFormat="1" ht="39.6" customHeight="1" x14ac:dyDescent="0.25">
      <c r="A6" s="14" t="str">
        <f>'Complete List_09252026'!D137</f>
        <v>Inner Sunset Neighborhood Association</v>
      </c>
      <c r="C6" s="14" t="str">
        <f>'Complete List_09252026'!E137</f>
        <v>1515 5th Ave</v>
      </c>
      <c r="D6" s="14" t="str">
        <f>'Complete List_09252026'!F137</f>
        <v>San Francisco</v>
      </c>
      <c r="E6" s="14" t="str">
        <f>'Complete List_09252026'!G137</f>
        <v>CA</v>
      </c>
      <c r="F6" s="14">
        <f>'Complete List_09252026'!H137</f>
        <v>94122</v>
      </c>
      <c r="G6" s="14" t="str">
        <f>'Complete List_09252026'!J137</f>
        <v>mariawabl@gmail.com</v>
      </c>
      <c r="H6" s="14" t="str">
        <f>'Complete List_09252026'!K137</f>
        <v>Physical</v>
      </c>
      <c r="I6" s="14" t="str">
        <f>'Complete List_09252026'!L137</f>
        <v>Inner Sunset</v>
      </c>
    </row>
    <row r="7" spans="1:10" s="14" customFormat="1" ht="39.6" customHeight="1" x14ac:dyDescent="0.25">
      <c r="A7" s="14" t="str">
        <f>'Complete List_09252026'!D193</f>
        <v>Mt. Sutro Woods Owners Association Inc.</v>
      </c>
      <c r="B7" s="14" t="str">
        <f>'Complete List_09252026'!C193</f>
        <v>Everett Hewlett</v>
      </c>
      <c r="C7" s="14" t="str">
        <f>'Complete List_09252026'!E193</f>
        <v>419 Crestmont Drive</v>
      </c>
      <c r="D7" s="14" t="str">
        <f>'Complete List_09252026'!F193</f>
        <v>San Francisco</v>
      </c>
      <c r="E7" s="14" t="str">
        <f>'Complete List_09252026'!G193</f>
        <v>CA</v>
      </c>
      <c r="F7" s="14" t="str">
        <f>'Complete List_09252026'!H193</f>
        <v>94131</v>
      </c>
      <c r="G7" s="14" t="str">
        <f>'Complete List_09252026'!J193</f>
        <v>ehewlettjr@earthlink.net</v>
      </c>
      <c r="H7" s="14" t="str">
        <f>'Complete List_09252026'!K193</f>
        <v>Physical</v>
      </c>
      <c r="I7" s="14" t="str">
        <f>'Complete List_09252026'!L193</f>
        <v>Inner Sunset</v>
      </c>
    </row>
    <row r="8" spans="1:10" s="14" customFormat="1" ht="92.45" customHeight="1" x14ac:dyDescent="0.25">
      <c r="A8" s="14" t="str">
        <f>'Complete List_09252026'!D261</f>
        <v>Sherwin Williams</v>
      </c>
      <c r="B8" s="14" t="str">
        <f>'Complete List_09252026'!C261</f>
        <v>Francesca Panullo</v>
      </c>
      <c r="C8" s="14" t="str">
        <f>'Complete List_09252026'!E261</f>
        <v>1415 Ocean Ave</v>
      </c>
      <c r="D8" s="14" t="str">
        <f>'Complete List_09252026'!F261</f>
        <v>San Francisco</v>
      </c>
      <c r="E8" s="14" t="str">
        <f>'Complete List_09252026'!G261</f>
        <v>CA</v>
      </c>
      <c r="F8" s="14">
        <f>'Complete List_09252026'!H261</f>
        <v>94112</v>
      </c>
      <c r="G8" s="14" t="str">
        <f>'Complete List_09252026'!J261</f>
        <v>sw8644@sherwin.com</v>
      </c>
      <c r="H8" s="14" t="str">
        <f>'Complete List_09252026'!K261</f>
        <v>Physical</v>
      </c>
      <c r="I8" s="14" t="str">
        <f>'Complete List_09252026'!L261</f>
        <v>Bayview, Bernal Heights, Crocker Amazon, Diamond Heights, Excelsior, Glen Park, Inner Sunset, Lakeshore, Noe Valley, Ocean View, Outer Mission, Outer Sunset, Parkside, Potrero Hill, South Bayshore, Twin Peaks, Visitacion Valley, West of Twin Peaks</v>
      </c>
    </row>
    <row r="9" spans="1:10" s="14" customFormat="1" ht="39.6" customHeight="1" x14ac:dyDescent="0.25">
      <c r="A9" s="14" t="str">
        <f>'Complete List_09252026'!D105</f>
        <v>Forest Knolls Neighborhood Organization</v>
      </c>
      <c r="B9" s="14" t="str">
        <f>'Complete List_09252026'!C105</f>
        <v>Walter Caplan</v>
      </c>
      <c r="C9" s="14" t="str">
        <f>'Complete List_09252026'!E105</f>
        <v>157 Warren Drive</v>
      </c>
      <c r="D9" s="14" t="str">
        <f>'Complete List_09252026'!F105</f>
        <v>San Francisco</v>
      </c>
      <c r="E9" s="14" t="str">
        <f>'Complete List_09252026'!G105</f>
        <v>CA</v>
      </c>
      <c r="F9" s="14" t="str">
        <f>'Complete List_09252026'!H105</f>
        <v>94131-1030</v>
      </c>
      <c r="G9" s="14" t="str">
        <f>'Complete List_09252026'!J105</f>
        <v>forestknolls@comcast.net</v>
      </c>
      <c r="H9" s="14" t="str">
        <f>'Complete List_09252026'!K105</f>
        <v>Physical</v>
      </c>
      <c r="I9" s="14" t="str">
        <f>'Complete List_09252026'!L105</f>
        <v>Inner Sunset, Twin Peaks</v>
      </c>
    </row>
    <row r="10" spans="1:10" s="14" customFormat="1" ht="39.6" customHeight="1" x14ac:dyDescent="0.25">
      <c r="A10" s="14" t="str">
        <f>'Complete List_09252026'!D113</f>
        <v>Golden Gate Heights Neighborhood Association</v>
      </c>
      <c r="B10" s="14" t="str">
        <f>'Complete List_09252026'!C113</f>
        <v>Sally Stephens</v>
      </c>
      <c r="C10" s="14" t="str">
        <f>'Complete List_09252026'!E113</f>
        <v>P.O. Box 27608</v>
      </c>
      <c r="D10" s="14" t="str">
        <f>'Complete List_09252026'!F113</f>
        <v>San Francisco</v>
      </c>
      <c r="E10" s="14" t="str">
        <f>'Complete List_09252026'!G113</f>
        <v>CA</v>
      </c>
      <c r="F10" s="14" t="str">
        <f>'Complete List_09252026'!H113</f>
        <v>94127</v>
      </c>
      <c r="G10" s="14" t="str">
        <f>'Complete List_09252026'!J113</f>
        <v>info@goldengateheights.org</v>
      </c>
      <c r="H10" s="14" t="str">
        <f>'Complete List_09252026'!K113</f>
        <v>Physical</v>
      </c>
      <c r="I10" s="14" t="str">
        <f>'Complete List_09252026'!L113</f>
        <v>Inner Sunset, Parkside, West of Twin Peaks</v>
      </c>
    </row>
    <row r="11" spans="1:10" s="14" customFormat="1" ht="39.6" customHeight="1" x14ac:dyDescent="0.25">
      <c r="A11" s="14" t="str">
        <f>'Complete List_09252026'!D273</f>
        <v>SPEAK (Sunset-Parkside Education and Action Committee)</v>
      </c>
      <c r="B11" s="14" t="str">
        <f>'Complete List_09252026'!C273</f>
        <v>Eileen Boken</v>
      </c>
      <c r="C11" s="14" t="str">
        <f>'Complete List_09252026'!E273</f>
        <v>1329 7th Ave</v>
      </c>
      <c r="D11" s="14" t="str">
        <f>'Complete List_09252026'!F273</f>
        <v>San Francisco</v>
      </c>
      <c r="E11" s="14" t="str">
        <f>'Complete List_09252026'!G273</f>
        <v>CA</v>
      </c>
      <c r="F11" s="14" t="str">
        <f>'Complete List_09252026'!H273</f>
        <v>94122</v>
      </c>
      <c r="G11" s="14" t="str">
        <f>'Complete List_09252026'!J273</f>
        <v>speaksanfrancisco@yahoo.com</v>
      </c>
      <c r="H11" s="14" t="str">
        <f>'Complete List_09252026'!K273</f>
        <v>Physical</v>
      </c>
      <c r="I11" s="14" t="str">
        <f>'Complete List_09252026'!L273</f>
        <v>Inner Sunset, Outer Sunset, Parkside</v>
      </c>
    </row>
    <row r="12" spans="1:10" s="14" customFormat="1" ht="17.45" customHeight="1" x14ac:dyDescent="0.25">
      <c r="A12" s="68" t="s">
        <v>1836</v>
      </c>
      <c r="B12" s="72"/>
      <c r="C12" s="72"/>
      <c r="D12" s="72"/>
      <c r="E12" s="72"/>
      <c r="F12" s="72"/>
      <c r="G12" s="72"/>
      <c r="H12" s="72"/>
      <c r="I12" s="72"/>
    </row>
    <row r="13" spans="1:10" s="14" customFormat="1" ht="79.150000000000006" customHeight="1" x14ac:dyDescent="0.25">
      <c r="A13" s="14" t="str">
        <f>'Complete List_09252026'!D40</f>
        <v>Board of Supervisors</v>
      </c>
      <c r="B13" s="14" t="str">
        <f>'Complete List_09252026'!C40</f>
        <v>Myrna Melgar</v>
      </c>
      <c r="C13" s="14" t="str">
        <f>'Complete List_09252026'!E40</f>
        <v>1 Dr. Carlton B Goodlett Place, Room #244</v>
      </c>
      <c r="D13" s="14" t="str">
        <f>'Complete List_09252026'!F40</f>
        <v>San Francisco</v>
      </c>
      <c r="E13" s="14" t="str">
        <f>'Complete List_09252026'!G40</f>
        <v>CA</v>
      </c>
      <c r="F13" s="14" t="str">
        <f>'Complete List_09252026'!H40</f>
        <v>94102-4689</v>
      </c>
      <c r="G13" s="14" t="str">
        <f>'Complete List_09252026'!J40</f>
        <v>myrna.melgar@sfgov.org;
Jennifer.Fieber@sfgov.org;
Megan.Imperial@sfgov.org;
Lila.Carrillo@sfgov.org;
Jen.Low@sfgov.org;
melgarstaff@sfgov.org</v>
      </c>
      <c r="H13" s="14" t="str">
        <f>'Complete List_09252026'!K40</f>
        <v>Both</v>
      </c>
      <c r="I13" s="14" t="str">
        <f>'Complete List_09252026'!L40</f>
        <v>Inner Sunset, Lakeshore, Ocean View, Parkside, Twin Peaks, West of Twin Peaks</v>
      </c>
    </row>
    <row r="14" spans="1:10" s="26" customFormat="1" ht="18" customHeight="1" x14ac:dyDescent="0.25">
      <c r="A14" s="70" t="s">
        <v>1842</v>
      </c>
      <c r="B14" s="69"/>
      <c r="C14" s="69"/>
      <c r="D14" s="69"/>
      <c r="E14" s="69"/>
      <c r="F14" s="69"/>
      <c r="G14" s="69"/>
      <c r="H14" s="69"/>
      <c r="I14" s="69"/>
      <c r="J14" s="29"/>
    </row>
    <row r="15" spans="1:10" s="14" customFormat="1" ht="26.45" customHeight="1" x14ac:dyDescent="0.25">
      <c r="A15" s="14" t="str">
        <f>'Complete List_09252026'!D135</f>
        <v>Inner Sunset Merchants Association</v>
      </c>
      <c r="B15" s="14" t="str">
        <f>'Complete List_09252026'!C135</f>
        <v>Board President</v>
      </c>
      <c r="C15" s="14" t="str">
        <f>'Complete List_09252026'!E135</f>
        <v>P. O. Box 225057</v>
      </c>
      <c r="D15" s="14" t="str">
        <f>'Complete List_09252026'!F135</f>
        <v>San Francisco</v>
      </c>
      <c r="E15" s="14" t="str">
        <f>'Complete List_09252026'!G135</f>
        <v>CA</v>
      </c>
      <c r="F15" s="14" t="str">
        <f>'Complete List_09252026'!H135</f>
        <v>94122</v>
      </c>
      <c r="G15" s="14" t="str">
        <f>'Complete List_09252026'!J135</f>
        <v>innersunsetmerchants@gmail.com</v>
      </c>
      <c r="H15" s="14" t="str">
        <f>'Complete List_09252026'!K135</f>
        <v>Electronic</v>
      </c>
      <c r="I15" s="14" t="str">
        <f>'Complete List_09252026'!L135</f>
        <v>Inner Sunset</v>
      </c>
    </row>
    <row r="16" spans="1:10" s="14" customFormat="1" ht="26.45" customHeight="1" x14ac:dyDescent="0.25">
      <c r="A16" s="14" t="str">
        <f>'Complete List_09252026'!D311</f>
        <v>Westside = best side!</v>
      </c>
      <c r="B16" s="14" t="str">
        <f>'Complete List_09252026'!C311</f>
        <v>Maelig Morvan</v>
      </c>
      <c r="C16" s="14" t="str">
        <f>'Complete List_09252026'!E311</f>
        <v>1444 48th Avenue</v>
      </c>
      <c r="D16" s="14" t="str">
        <f>'Complete List_09252026'!F311</f>
        <v>San Francisco</v>
      </c>
      <c r="E16" s="14" t="str">
        <f>'Complete List_09252026'!G311</f>
        <v>CA</v>
      </c>
      <c r="F16" s="14">
        <f>'Complete List_09252026'!H311</f>
        <v>94122</v>
      </c>
      <c r="G16" s="14" t="str">
        <f>'Complete List_09252026'!J311</f>
        <v>westsidebestsidesf@gmail.com</v>
      </c>
      <c r="H16" s="14" t="str">
        <f>'Complete List_09252026'!K311</f>
        <v>Electronic</v>
      </c>
      <c r="I16" s="14" t="str">
        <f>'Complete List_09252026'!L311</f>
        <v>Inner Sunset, Lakeshore, Outer Sunset, Parkside, West of Twin Peaks</v>
      </c>
    </row>
    <row r="17" spans="1:9" s="14" customFormat="1" ht="26.45" customHeight="1" x14ac:dyDescent="0.25">
      <c r="A17" s="14" t="str">
        <f>'Complete List_09252026'!D138</f>
        <v>Inner Sunset Park Neighbors</v>
      </c>
      <c r="B17" s="14" t="str">
        <f>'Complete List_09252026'!C138</f>
        <v>Lawrence Rosenfeld</v>
      </c>
      <c r="C17" s="14" t="str">
        <f>'Complete List_09252026'!E138</f>
        <v>1032 Irving Street PMB #511</v>
      </c>
      <c r="D17" s="14" t="str">
        <f>'Complete List_09252026'!F138</f>
        <v>San Francisco</v>
      </c>
      <c r="E17" s="14" t="str">
        <f>'Complete List_09252026'!G138</f>
        <v>CA</v>
      </c>
      <c r="F17" s="14">
        <f>'Complete List_09252026'!H138</f>
        <v>94122</v>
      </c>
      <c r="G17" s="14" t="str">
        <f>'Complete List_09252026'!J138</f>
        <v>info@inner-sunset.org</v>
      </c>
      <c r="H17" s="14" t="str">
        <f>'Complete List_09252026'!K138</f>
        <v>Electronic</v>
      </c>
      <c r="I17" s="14" t="str">
        <f>'Complete List_09252026'!L138</f>
        <v>Inner Sunset</v>
      </c>
    </row>
    <row r="18" spans="1:9" s="14" customFormat="1" ht="26.45" customHeight="1" x14ac:dyDescent="0.25">
      <c r="A18" s="14" t="str">
        <f>'Complete List_09252026'!D200</f>
        <v>Ninth Avenue Neighbors</v>
      </c>
      <c r="B18" s="14" t="str">
        <f>'Complete List_09252026'!C200</f>
        <v>Harriet Rohmer</v>
      </c>
      <c r="C18" s="14" t="str">
        <f>'Complete List_09252026'!E200</f>
        <v>1461 Ninth Avenue</v>
      </c>
      <c r="D18" s="14" t="str">
        <f>'Complete List_09252026'!F200</f>
        <v>San Francisco</v>
      </c>
      <c r="E18" s="14" t="str">
        <f>'Complete List_09252026'!G200</f>
        <v>CA</v>
      </c>
      <c r="F18" s="14" t="str">
        <f>'Complete List_09252026'!H200</f>
        <v>94122</v>
      </c>
      <c r="G18" s="14" t="str">
        <f>'Complete List_09252026'!J200</f>
        <v>harrietrohmer@gmail.com</v>
      </c>
      <c r="H18" s="14" t="str">
        <f>'Complete List_09252026'!K200</f>
        <v>Electronic</v>
      </c>
      <c r="I18" s="14" t="str">
        <f>'Complete List_09252026'!L200</f>
        <v>Inner Sunset</v>
      </c>
    </row>
    <row r="19" spans="1:9" s="14" customFormat="1" ht="26.45" customHeight="1" x14ac:dyDescent="0.25">
      <c r="A19" s="14" t="str">
        <f>'Complete List_09252026'!D247</f>
        <v>Self-Help for the Elderly</v>
      </c>
      <c r="B19" s="14" t="str">
        <f>'Complete List_09252026'!C247</f>
        <v>Anni Chung</v>
      </c>
      <c r="C19" s="14" t="str">
        <f>'Complete List_09252026'!E247</f>
        <v>731 Sansome Street, Suite 1000</v>
      </c>
      <c r="D19" s="14" t="str">
        <f>'Complete List_09252026'!F247</f>
        <v>San Francisco</v>
      </c>
      <c r="E19" s="14" t="str">
        <f>'Complete List_09252026'!G247</f>
        <v>CA</v>
      </c>
      <c r="F19" s="14" t="str">
        <f>'Complete List_09252026'!H247</f>
        <v>94111</v>
      </c>
      <c r="G19" s="14" t="str">
        <f>'Complete List_09252026'!J247</f>
        <v>annic@selfhelpelderly.org</v>
      </c>
      <c r="H19" s="14" t="str">
        <f>'Complete List_09252026'!K247</f>
        <v>Electronic</v>
      </c>
      <c r="I19" s="14" t="str">
        <f>'Complete List_09252026'!L247</f>
        <v>Chinatown, Inner Richmond, Inner Sunset, Outer Richmond, Outer Sunset</v>
      </c>
    </row>
    <row r="20" spans="1:9" s="14" customFormat="1" ht="52.9" customHeight="1" x14ac:dyDescent="0.25">
      <c r="A20" s="14" t="str">
        <f>'Complete List_09252026'!D281</f>
        <v>Sunset Heights Association of Responsible People (SHARP)</v>
      </c>
      <c r="B20" s="14" t="str">
        <f>'Complete List_09252026'!C281</f>
        <v>Dennis Minnick</v>
      </c>
      <c r="C20" s="14" t="str">
        <f>'Complete List_09252026'!E281</f>
        <v>1608A 11th Avenue</v>
      </c>
      <c r="D20" s="14" t="str">
        <f>'Complete List_09252026'!F281</f>
        <v>San Francisco</v>
      </c>
      <c r="E20" s="14" t="str">
        <f>'Complete List_09252026'!G281</f>
        <v>CA</v>
      </c>
      <c r="F20" s="14">
        <f>'Complete List_09252026'!H281</f>
        <v>94122</v>
      </c>
      <c r="G20" s="14" t="str">
        <f>'Complete List_09252026'!J281</f>
        <v>sharp@sharpsf.com</v>
      </c>
      <c r="H20" s="14" t="str">
        <f>'Complete List_09252026'!K281</f>
        <v>Electronic</v>
      </c>
      <c r="I20" s="14" t="str">
        <f>'Complete List_09252026'!L281</f>
        <v>Inner Sunset</v>
      </c>
    </row>
    <row r="21" spans="1:9" ht="26.45" customHeight="1" x14ac:dyDescent="0.25">
      <c r="A21" s="5" t="str">
        <f>'Complete List_09252026'!D312</f>
        <v>Westside Community Coalition</v>
      </c>
      <c r="B21" s="5" t="str">
        <f>'Complete List_09252026'!C312</f>
        <v>Joseph Smooke</v>
      </c>
      <c r="C21" s="5" t="str">
        <f>'Complete List_09252026'!E312</f>
        <v>366 10th Ave</v>
      </c>
      <c r="D21" s="5" t="str">
        <f>'Complete List_09252026'!F312</f>
        <v>San Francisco</v>
      </c>
      <c r="E21" s="5" t="str">
        <f>'Complete List_09252026'!G312</f>
        <v>CA</v>
      </c>
      <c r="F21" s="5">
        <f>'Complete List_09252026'!H312</f>
        <v>94118</v>
      </c>
      <c r="G21" s="5" t="str">
        <f>'Complete List_09252026'!J312</f>
        <v>joseph_smooke@yahoo.com</v>
      </c>
      <c r="H21" s="5" t="str">
        <f>'Complete List_09252026'!K312</f>
        <v>Electronic</v>
      </c>
      <c r="I21" s="5" t="str">
        <f>'Complete List_09252026'!L312</f>
        <v>Inner Richmond, Inner Sunset, Lakeshore, Outer Richmond, Outer Sunset, Parkside</v>
      </c>
    </row>
    <row r="22" spans="1:9" ht="27" customHeight="1" x14ac:dyDescent="0.25">
      <c r="A22" s="5" t="str">
        <f>'Complete List_09252026'!D282</f>
        <v>Sunset Small Business Network</v>
      </c>
      <c r="B22" s="5" t="str">
        <f>'Complete List_09252026'!C282</f>
        <v>Poppy Gilman</v>
      </c>
      <c r="C22" s="5" t="str">
        <f>'Complete List_09252026'!E282</f>
        <v>2309 Noriega Street</v>
      </c>
      <c r="D22" s="5" t="str">
        <f>'Complete List_09252026'!F282</f>
        <v>San Francisco</v>
      </c>
      <c r="E22" s="5" t="str">
        <f>'Complete List_09252026'!G282</f>
        <v>CA</v>
      </c>
      <c r="F22" s="8">
        <f>'Complete List_09252026'!H282</f>
        <v>94122</v>
      </c>
      <c r="G22" s="5" t="str">
        <f>'Complete List_09252026'!J282</f>
        <v>poppy.noriegast@gmail.com</v>
      </c>
      <c r="H22" s="5" t="str">
        <f>'Complete List_09252026'!K282</f>
        <v>Electronic</v>
      </c>
      <c r="I22" s="5" t="str">
        <f>'Complete List_09252026'!L282</f>
        <v>Inner Sunset, Outer Sunset, Parkside</v>
      </c>
    </row>
  </sheetData>
  <autoFilter ref="A1:K1" xr:uid="{00000000-0009-0000-0000-00000F000000}">
    <sortState xmlns:xlrd2="http://schemas.microsoft.com/office/spreadsheetml/2017/richdata2" ref="A2:K18">
      <sortCondition descending="1" ref="H1"/>
    </sortState>
  </autoFilter>
  <mergeCells count="3">
    <mergeCell ref="A12:I12"/>
    <mergeCell ref="A2:I2"/>
    <mergeCell ref="A14:I14"/>
  </mergeCells>
  <pageMargins left="0.7" right="0.7" top="0.75" bottom="0.75" header="0.3" footer="0.3"/>
  <pageSetup scale="52"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J16"/>
  <sheetViews>
    <sheetView zoomScale="75" zoomScaleNormal="75" zoomScalePageLayoutView="75" workbookViewId="0">
      <selection activeCell="I12" sqref="I12"/>
    </sheetView>
  </sheetViews>
  <sheetFormatPr defaultColWidth="8.85546875" defaultRowHeight="12.75" x14ac:dyDescent="0.25"/>
  <cols>
    <col min="1" max="1" width="36.140625" style="5" customWidth="1"/>
    <col min="2" max="2" width="21" style="5" customWidth="1"/>
    <col min="3" max="3" width="28.7109375" style="5" customWidth="1"/>
    <col min="4" max="4" width="14.140625" style="5" customWidth="1"/>
    <col min="5" max="5" width="8.85546875" style="5" customWidth="1"/>
    <col min="6" max="6" width="8.85546875" style="8" customWidth="1"/>
    <col min="7" max="8" width="30.140625" style="5" customWidth="1"/>
    <col min="9" max="9" width="49" style="5" customWidth="1"/>
    <col min="10" max="10" width="8.85546875" style="5" customWidth="1"/>
    <col min="11" max="16384" width="8.85546875" style="5"/>
  </cols>
  <sheetData>
    <row r="1" spans="1:10" s="4" customFormat="1" ht="18" customHeight="1" x14ac:dyDescent="0.25">
      <c r="A1" s="4" t="s">
        <v>3</v>
      </c>
      <c r="B1" s="4" t="str">
        <f>'Complete List_09252026'!C1</f>
        <v>NAME</v>
      </c>
      <c r="C1" s="4" t="str">
        <f>'Complete List_09252026'!E1</f>
        <v>ADDRESS</v>
      </c>
      <c r="D1" s="4" t="str">
        <f>'Complete List_09252026'!F1</f>
        <v>CITY</v>
      </c>
      <c r="E1" s="4" t="str">
        <f>'Complete List_09252026'!G1</f>
        <v>STATE</v>
      </c>
      <c r="F1" s="10" t="str">
        <f>'Complete List_09252026'!H1</f>
        <v>ZIP</v>
      </c>
      <c r="G1" s="4" t="str">
        <f>'Complete List_09252026'!J1</f>
        <v>EMAIL</v>
      </c>
      <c r="H1" s="4" t="s">
        <v>10</v>
      </c>
      <c r="I1" s="4" t="str">
        <f>'Complete List_09252026'!L1</f>
        <v>NEIGHBORHOOD OF INTEREST</v>
      </c>
    </row>
    <row r="2" spans="1:10" s="26" customFormat="1" ht="18" customHeight="1" x14ac:dyDescent="0.25">
      <c r="A2" s="71" t="s">
        <v>1835</v>
      </c>
      <c r="B2" s="69"/>
      <c r="C2" s="69"/>
      <c r="D2" s="69"/>
      <c r="E2" s="69"/>
      <c r="F2" s="69"/>
      <c r="G2" s="69"/>
      <c r="H2" s="69"/>
      <c r="I2" s="69"/>
      <c r="J2" s="28"/>
    </row>
    <row r="3" spans="1:10" s="14" customFormat="1" ht="39.6" customHeight="1" x14ac:dyDescent="0.25">
      <c r="A3" s="14" t="str">
        <f>'Complete List_09252026'!D132</f>
        <v>Housing Rights Committee of San Francisco</v>
      </c>
      <c r="B3" s="14" t="str">
        <f>'Complete List_09252026'!C132</f>
        <v>Sarah Sherburn-Zimmer</v>
      </c>
      <c r="C3" s="14" t="str">
        <f>'Complete List_09252026'!E132</f>
        <v>1663 Mission Street, Suite 504</v>
      </c>
      <c r="D3" s="14" t="str">
        <f>'Complete List_09252026'!F132</f>
        <v>San Francisco</v>
      </c>
      <c r="E3" s="14" t="str">
        <f>'Complete List_09252026'!G132</f>
        <v>CA</v>
      </c>
      <c r="F3" s="14">
        <f>'Complete List_09252026'!H132</f>
        <v>94103</v>
      </c>
      <c r="G3" s="14" t="str">
        <f>'Complete List_09252026'!J132</f>
        <v>fred@hrcsf.org</v>
      </c>
      <c r="H3" s="14" t="str">
        <f>'Complete List_09252026'!K132</f>
        <v>Physical</v>
      </c>
      <c r="I3" s="14" t="str">
        <f>'Complete List_09252026'!L132</f>
        <v>Golden Gate Park, Inner Richmond, Inner Sunset, Lakeshore, Outer Richmond, Outer Sunset, Parkside, West of Twin Peaks</v>
      </c>
    </row>
    <row r="4" spans="1:10" s="14" customFormat="1" x14ac:dyDescent="0.25">
      <c r="A4" s="14" t="str">
        <f>'Complete List_09252026'!D150</f>
        <v>Lakeside Property Owners Association</v>
      </c>
      <c r="B4" s="14" t="str">
        <f>'Complete List_09252026'!C150</f>
        <v xml:space="preserve">  </v>
      </c>
      <c r="C4" s="14" t="str">
        <f>'Complete List_09252026'!E150</f>
        <v>P.O. Box 27516</v>
      </c>
      <c r="D4" s="14" t="str">
        <f>'Complete List_09252026'!F150</f>
        <v>San Francisco</v>
      </c>
      <c r="E4" s="14" t="str">
        <f>'Complete List_09252026'!G150</f>
        <v>CA</v>
      </c>
      <c r="F4" s="14" t="str">
        <f>'Complete List_09252026'!H150</f>
        <v>94127</v>
      </c>
      <c r="G4" s="14" t="str">
        <f>'Complete List_09252026'!J150</f>
        <v>LPOA@lakesidepoa.org</v>
      </c>
      <c r="H4" s="14" t="str">
        <f>'Complete List_09252026'!K150</f>
        <v>Physical</v>
      </c>
      <c r="I4" s="14" t="str">
        <f>'Complete List_09252026'!L150</f>
        <v>Lakeshore</v>
      </c>
    </row>
    <row r="5" spans="1:10" s="14" customFormat="1" x14ac:dyDescent="0.25">
      <c r="A5" s="14" t="str">
        <f>'Complete List_09252026'!D227</f>
        <v>Parkmerced Action Coalition</v>
      </c>
      <c r="B5" s="14" t="str">
        <f>'Complete List_09252026'!C227</f>
        <v>Cathy Lentz</v>
      </c>
      <c r="C5" s="14" t="str">
        <f>'Complete List_09252026'!E227</f>
        <v>P.O. BOX 320162</v>
      </c>
      <c r="D5" s="14" t="str">
        <f>'Complete List_09252026'!F227</f>
        <v>San Francisco</v>
      </c>
      <c r="E5" s="14" t="str">
        <f>'Complete List_09252026'!G227</f>
        <v>CA</v>
      </c>
      <c r="F5" s="14">
        <f>'Complete List_09252026'!H227</f>
        <v>94132</v>
      </c>
      <c r="G5" s="14" t="str">
        <f>'Complete List_09252026'!J227</f>
        <v>parkmercedac@gmail.com</v>
      </c>
      <c r="H5" s="14" t="str">
        <f>'Complete List_09252026'!K227</f>
        <v>Physical</v>
      </c>
      <c r="I5" s="14" t="str">
        <f>'Complete List_09252026'!L227</f>
        <v>Lakeshore, Parkside</v>
      </c>
    </row>
    <row r="6" spans="1:10" s="14" customFormat="1" ht="66" customHeight="1" x14ac:dyDescent="0.25">
      <c r="A6" s="14" t="str">
        <f>'Complete List_09252026'!D261</f>
        <v>Sherwin Williams</v>
      </c>
      <c r="B6" s="14" t="str">
        <f>'Complete List_09252026'!C261</f>
        <v>Francesca Panullo</v>
      </c>
      <c r="C6" s="14" t="str">
        <f>'Complete List_09252026'!E261</f>
        <v>1415 Ocean Ave</v>
      </c>
      <c r="D6" s="14" t="str">
        <f>'Complete List_09252026'!F261</f>
        <v>San Francisco</v>
      </c>
      <c r="E6" s="14" t="str">
        <f>'Complete List_09252026'!G261</f>
        <v>CA</v>
      </c>
      <c r="F6" s="14">
        <f>'Complete List_09252026'!H261</f>
        <v>94112</v>
      </c>
      <c r="G6" s="14" t="str">
        <f>'Complete List_09252026'!J261</f>
        <v>sw8644@sherwin.com</v>
      </c>
      <c r="H6" s="14" t="str">
        <f>'Complete List_09252026'!K261</f>
        <v>Physical</v>
      </c>
      <c r="I6" s="14" t="str">
        <f>'Complete List_09252026'!L261</f>
        <v>Bayview, Bernal Heights, Crocker Amazon, Diamond Heights, Excelsior, Glen Park, Inner Sunset, Lakeshore, Noe Valley, Ocean View, Outer Mission, Outer Sunset, Parkside, Potrero Hill, South Bayshore, Twin Peaks, Visitacion Valley, West of Twin Peaks</v>
      </c>
    </row>
    <row r="7" spans="1:10" s="14" customFormat="1" ht="39.6" customHeight="1" x14ac:dyDescent="0.25">
      <c r="A7" s="14" t="str">
        <f>'Complete List_09252026'!D309</f>
        <v>West of Twin Peaks Central Council</v>
      </c>
      <c r="B7" s="14" t="str">
        <f>'Complete List_09252026'!C309</f>
        <v>Matt Chamberlain</v>
      </c>
      <c r="C7" s="14" t="str">
        <f>'Complete List_09252026'!E309</f>
        <v>P.O. Box 27112</v>
      </c>
      <c r="D7" s="14" t="str">
        <f>'Complete List_09252026'!F309</f>
        <v>San Francisco</v>
      </c>
      <c r="E7" s="14" t="str">
        <f>'Complete List_09252026'!G309</f>
        <v>CA</v>
      </c>
      <c r="F7" s="14" t="str">
        <f>'Complete List_09252026'!H309</f>
        <v>94127</v>
      </c>
      <c r="G7" s="14" t="str">
        <f>'Complete List_09252026'!J309</f>
        <v xml:space="preserve">info@WestOfTwinPeaks.org
President@WestOfTwinPeaks.org 
</v>
      </c>
      <c r="H7" s="14" t="str">
        <f>'Complete List_09252026'!K309</f>
        <v>Physical</v>
      </c>
      <c r="I7" s="14" t="str">
        <f>'Complete List_09252026'!L309</f>
        <v>Diamond Heights, Lakeshore, Parkside, Twin Peaks, West of Twin Peaks</v>
      </c>
    </row>
    <row r="8" spans="1:10" s="14" customFormat="1" ht="26.45" customHeight="1" x14ac:dyDescent="0.25">
      <c r="A8" s="14" t="str">
        <f>'Complete List_09252026'!D149</f>
        <v>Lakeshore Acres Improvement Club</v>
      </c>
      <c r="B8" s="14" t="str">
        <f>'Complete List_09252026'!C149</f>
        <v>Bill Chionsini</v>
      </c>
      <c r="C8" s="14" t="str">
        <f>'Complete List_09252026'!E149</f>
        <v>P.O. Box 320222</v>
      </c>
      <c r="D8" s="14" t="str">
        <f>'Complete List_09252026'!F149</f>
        <v>San Francisco</v>
      </c>
      <c r="E8" s="14" t="str">
        <f>'Complete List_09252026'!G149</f>
        <v>CA</v>
      </c>
      <c r="F8" s="14" t="str">
        <f>'Complete List_09252026'!H149</f>
        <v>94132-0222</v>
      </c>
      <c r="G8" s="14" t="str">
        <f>'Complete List_09252026'!J149</f>
        <v>SIEL94132@gmail.com</v>
      </c>
      <c r="H8" s="14" t="str">
        <f>'Complete List_09252026'!K149</f>
        <v>Physical</v>
      </c>
      <c r="I8" s="14" t="str">
        <f>'Complete List_09252026'!L149</f>
        <v>Lakeshore</v>
      </c>
    </row>
    <row r="9" spans="1:10" s="14" customFormat="1" ht="29.1" customHeight="1" x14ac:dyDescent="0.25">
      <c r="A9" s="14" t="str">
        <f>'Complete List_09252026'!D173</f>
        <v>Merced Extension Triangle Neighborhood Association (METNA)</v>
      </c>
      <c r="B9" s="14" t="str">
        <f>'Complete List_09252026'!C173</f>
        <v>Marc Christensen</v>
      </c>
      <c r="C9" s="14" t="str">
        <f>'Complete List_09252026'!E173</f>
        <v>60 Kempton Avenue</v>
      </c>
      <c r="D9" s="14" t="str">
        <f>'Complete List_09252026'!F173</f>
        <v>San Francisco</v>
      </c>
      <c r="E9" s="14" t="str">
        <f>'Complete List_09252026'!G173</f>
        <v>CA</v>
      </c>
      <c r="F9" s="14" t="str">
        <f>'Complete List_09252026'!H173</f>
        <v>94132-3221</v>
      </c>
      <c r="G9" s="14" t="str">
        <f>'Complete List_09252026'!J173</f>
        <v>christensen.marc.metna@gmail.com; ragtime217@gmail.com</v>
      </c>
      <c r="H9" s="14" t="str">
        <f>'Complete List_09252026'!K173</f>
        <v>Physical</v>
      </c>
      <c r="I9" s="14" t="str">
        <f>'Complete List_09252026'!L173</f>
        <v>Lakeshore, Ocean View</v>
      </c>
    </row>
    <row r="10" spans="1:10" s="14" customFormat="1" ht="17.45" customHeight="1" x14ac:dyDescent="0.25">
      <c r="A10" s="68" t="s">
        <v>1836</v>
      </c>
      <c r="B10" s="72"/>
      <c r="C10" s="72"/>
      <c r="D10" s="72"/>
      <c r="E10" s="72"/>
      <c r="F10" s="72"/>
      <c r="G10" s="72"/>
      <c r="H10" s="72"/>
      <c r="I10" s="72"/>
    </row>
    <row r="11" spans="1:10" s="14" customFormat="1" ht="79.150000000000006" customHeight="1" x14ac:dyDescent="0.25">
      <c r="A11" s="14" t="str">
        <f>'Complete List_09252026'!D40</f>
        <v>Board of Supervisors</v>
      </c>
      <c r="B11" s="14" t="str">
        <f>'Complete List_09252026'!C40</f>
        <v>Myrna Melgar</v>
      </c>
      <c r="C11" s="14" t="str">
        <f>'Complete List_09252026'!E40</f>
        <v>1 Dr. Carlton B Goodlett Place, Room #244</v>
      </c>
      <c r="D11" s="14" t="str">
        <f>'Complete List_09252026'!F40</f>
        <v>San Francisco</v>
      </c>
      <c r="E11" s="14" t="str">
        <f>'Complete List_09252026'!G40</f>
        <v>CA</v>
      </c>
      <c r="F11" s="14" t="str">
        <f>'Complete List_09252026'!H40</f>
        <v>94102-4689</v>
      </c>
      <c r="G11" s="14" t="str">
        <f>'Complete List_09252026'!J40</f>
        <v>myrna.melgar@sfgov.org;
Jennifer.Fieber@sfgov.org;
Megan.Imperial@sfgov.org;
Lila.Carrillo@sfgov.org;
Jen.Low@sfgov.org;
melgarstaff@sfgov.org</v>
      </c>
      <c r="H11" s="14" t="str">
        <f>'Complete List_09252026'!K40</f>
        <v>Both</v>
      </c>
      <c r="I11" s="14" t="str">
        <f>'Complete List_09252026'!L40</f>
        <v>Inner Sunset, Lakeshore, Ocean View, Parkside, Twin Peaks, West of Twin Peaks</v>
      </c>
    </row>
    <row r="12" spans="1:10" s="14" customFormat="1" ht="66" customHeight="1" x14ac:dyDescent="0.25">
      <c r="A12" s="14" t="str">
        <f>'Complete List_09252026'!D42</f>
        <v>Board of Supervisors</v>
      </c>
      <c r="B12" s="14" t="str">
        <f>'Complete List_09252026'!C42</f>
        <v>Alan Wong</v>
      </c>
      <c r="C12" s="14" t="str">
        <f>'Complete List_09252026'!E42</f>
        <v>1 Dr. Carlton B Goodlett Place, Room #244</v>
      </c>
      <c r="D12" s="14" t="str">
        <f>'Complete List_09252026'!F42</f>
        <v>San Francisco</v>
      </c>
      <c r="E12" s="14" t="str">
        <f>'Complete List_09252026'!G42</f>
        <v>CA</v>
      </c>
      <c r="F12" s="14" t="str">
        <f>'Complete List_09252026'!H42</f>
        <v>94102-4689</v>
      </c>
      <c r="G12" s="14" t="str">
        <f>'Complete List_09252026'!J42</f>
        <v>Tiff.Lee@sfgov.org;
Jessica.Cen@sfgov.org;
Andrew.Sinn@sfgov.org;
Derek.Lee@sfgov.org;
WongStaff@sfgov.org</v>
      </c>
      <c r="H12" s="14" t="str">
        <f>'Complete List_09252026'!K42</f>
        <v>Both</v>
      </c>
      <c r="I12" s="14" t="str">
        <f>'Complete List_09252026'!L42</f>
        <v>Lakeshore, Outer Sunset, Parkside</v>
      </c>
    </row>
    <row r="13" spans="1:10" s="26" customFormat="1" ht="18" customHeight="1" x14ac:dyDescent="0.25">
      <c r="A13" s="70" t="s">
        <v>1842</v>
      </c>
      <c r="B13" s="69"/>
      <c r="C13" s="69"/>
      <c r="D13" s="69"/>
      <c r="E13" s="69"/>
      <c r="F13" s="69"/>
      <c r="G13" s="69"/>
      <c r="H13" s="69"/>
      <c r="I13" s="69"/>
      <c r="J13" s="29"/>
    </row>
    <row r="14" spans="1:10" s="14" customFormat="1" ht="26.45" customHeight="1" x14ac:dyDescent="0.25">
      <c r="A14" s="14" t="str">
        <f>'Complete List_09252026'!D134</f>
        <v>Ingleside Terraces Homes Association</v>
      </c>
      <c r="B14" s="14" t="str">
        <f>'Complete List_09252026'!C134</f>
        <v>Paul Conroy</v>
      </c>
      <c r="C14" s="14" t="str">
        <f>'Complete List_09252026'!E134</f>
        <v>P.O. Box 27304</v>
      </c>
      <c r="D14" s="14" t="str">
        <f>'Complete List_09252026'!F134</f>
        <v>San Francisco</v>
      </c>
      <c r="E14" s="14" t="str">
        <f>'Complete List_09252026'!G134</f>
        <v>CA</v>
      </c>
      <c r="F14" s="14" t="str">
        <f>'Complete List_09252026'!H134</f>
        <v>94127-0304</v>
      </c>
      <c r="G14" s="14" t="str">
        <f>'Complete List_09252026'!J134</f>
        <v>President@ithasf.org</v>
      </c>
      <c r="H14" s="14" t="str">
        <f>'Complete List_09252026'!K134</f>
        <v>Electronic</v>
      </c>
      <c r="I14" s="14" t="str">
        <f>'Complete List_09252026'!L134</f>
        <v>Lakeshore, Ocean View, West of Twin Peaks</v>
      </c>
    </row>
    <row r="15" spans="1:10" s="14" customFormat="1" ht="26.45" customHeight="1" x14ac:dyDescent="0.25">
      <c r="A15" s="14" t="str">
        <f>'Complete List_09252026'!D311</f>
        <v>Westside = best side!</v>
      </c>
      <c r="B15" s="14" t="str">
        <f>'Complete List_09252026'!C311</f>
        <v>Maelig Morvan</v>
      </c>
      <c r="C15" s="14" t="str">
        <f>'Complete List_09252026'!E311</f>
        <v>1444 48th Avenue</v>
      </c>
      <c r="D15" s="14" t="str">
        <f>'Complete List_09252026'!F311</f>
        <v>San Francisco</v>
      </c>
      <c r="E15" s="14" t="str">
        <f>'Complete List_09252026'!G311</f>
        <v>CA</v>
      </c>
      <c r="F15" s="14">
        <f>'Complete List_09252026'!H311</f>
        <v>94122</v>
      </c>
      <c r="G15" s="14" t="str">
        <f>'Complete List_09252026'!J311</f>
        <v>westsidebestsidesf@gmail.com</v>
      </c>
      <c r="H15" s="14" t="str">
        <f>'Complete List_09252026'!K311</f>
        <v>Electronic</v>
      </c>
      <c r="I15" s="14" t="str">
        <f>'Complete List_09252026'!L311</f>
        <v>Inner Sunset, Lakeshore, Outer Sunset, Parkside, West of Twin Peaks</v>
      </c>
    </row>
    <row r="16" spans="1:10" ht="26.45" customHeight="1" x14ac:dyDescent="0.25">
      <c r="A16" s="5" t="str">
        <f>'Complete List_09252026'!D312</f>
        <v>Westside Community Coalition</v>
      </c>
      <c r="B16" s="5" t="str">
        <f>'Complete List_09252026'!C312</f>
        <v>Joseph Smooke</v>
      </c>
      <c r="C16" s="5" t="str">
        <f>'Complete List_09252026'!E312</f>
        <v>366 10th Ave</v>
      </c>
      <c r="D16" s="5" t="str">
        <f>'Complete List_09252026'!F312</f>
        <v>San Francisco</v>
      </c>
      <c r="E16" s="5" t="str">
        <f>'Complete List_09252026'!G312</f>
        <v>CA</v>
      </c>
      <c r="F16" s="5">
        <f>'Complete List_09252026'!H312</f>
        <v>94118</v>
      </c>
      <c r="G16" s="5" t="str">
        <f>'Complete List_09252026'!J312</f>
        <v>joseph_smooke@yahoo.com</v>
      </c>
      <c r="H16" s="5" t="str">
        <f>'Complete List_09252026'!K312</f>
        <v>Electronic</v>
      </c>
      <c r="I16" s="5" t="str">
        <f>'Complete List_09252026'!L312</f>
        <v>Inner Richmond, Inner Sunset, Lakeshore, Outer Richmond, Outer Sunset, Parkside</v>
      </c>
    </row>
  </sheetData>
  <autoFilter ref="A1:K1" xr:uid="{00000000-0009-0000-0000-000010000000}">
    <sortState xmlns:xlrd2="http://schemas.microsoft.com/office/spreadsheetml/2017/richdata2" ref="A2:K11">
      <sortCondition descending="1" ref="H1"/>
    </sortState>
  </autoFilter>
  <mergeCells count="3">
    <mergeCell ref="A10:I10"/>
    <mergeCell ref="A13:I13"/>
    <mergeCell ref="A2:I2"/>
  </mergeCells>
  <pageMargins left="0.7" right="0.7" top="0.75" bottom="0.75" header="0.3" footer="0.3"/>
  <pageSetup scale="52"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J17"/>
  <sheetViews>
    <sheetView zoomScale="75" zoomScaleNormal="75" zoomScalePageLayoutView="75" workbookViewId="0">
      <selection activeCell="A4" sqref="A4:XFD4"/>
    </sheetView>
  </sheetViews>
  <sheetFormatPr defaultColWidth="8.85546875" defaultRowHeight="12.75" x14ac:dyDescent="0.25"/>
  <cols>
    <col min="1" max="1" width="36.140625" style="5" customWidth="1"/>
    <col min="2" max="2" width="21" style="5" customWidth="1"/>
    <col min="3" max="3" width="28.7109375" style="5" customWidth="1"/>
    <col min="4" max="4" width="14.140625" style="5" customWidth="1"/>
    <col min="5" max="5" width="8.85546875" style="5" customWidth="1"/>
    <col min="6" max="6" width="8.85546875" style="8" customWidth="1"/>
    <col min="7" max="8" width="30.140625" style="5" customWidth="1"/>
    <col min="9" max="9" width="49" style="5" customWidth="1"/>
    <col min="10" max="10" width="8.85546875" style="5" customWidth="1"/>
    <col min="11" max="16384" width="8.85546875" style="5"/>
  </cols>
  <sheetData>
    <row r="1" spans="1:10" s="4" customFormat="1" ht="18" customHeight="1" x14ac:dyDescent="0.25">
      <c r="A1" s="4" t="s">
        <v>3</v>
      </c>
      <c r="B1" s="4" t="str">
        <f>'Complete List_09252026'!C1</f>
        <v>NAME</v>
      </c>
      <c r="C1" s="4" t="str">
        <f>'Complete List_09252026'!E1</f>
        <v>ADDRESS</v>
      </c>
      <c r="D1" s="4" t="str">
        <f>'Complete List_09252026'!F1</f>
        <v>CITY</v>
      </c>
      <c r="E1" s="4" t="str">
        <f>'Complete List_09252026'!G1</f>
        <v>STATE</v>
      </c>
      <c r="F1" s="10" t="str">
        <f>'Complete List_09252026'!H1</f>
        <v>ZIP</v>
      </c>
      <c r="G1" s="4" t="str">
        <f>'Complete List_09252026'!J1</f>
        <v>EMAIL</v>
      </c>
      <c r="H1" s="4" t="s">
        <v>10</v>
      </c>
      <c r="I1" s="4" t="str">
        <f>'Complete List_09252026'!L1</f>
        <v>NEIGHBORHOOD OF INTEREST</v>
      </c>
    </row>
    <row r="2" spans="1:10" s="26" customFormat="1" ht="18" customHeight="1" x14ac:dyDescent="0.25">
      <c r="A2" s="71" t="s">
        <v>1835</v>
      </c>
      <c r="B2" s="69"/>
      <c r="C2" s="69"/>
      <c r="D2" s="69"/>
      <c r="E2" s="69"/>
      <c r="F2" s="69"/>
      <c r="G2" s="69"/>
      <c r="H2" s="69"/>
      <c r="I2" s="69"/>
      <c r="J2" s="28"/>
    </row>
    <row r="3" spans="1:10" s="14" customFormat="1" ht="39.6" customHeight="1" x14ac:dyDescent="0.25">
      <c r="A3" s="14" t="str">
        <f>'Complete List_09252026'!D129</f>
        <v>HERE Local 2</v>
      </c>
      <c r="B3" s="14" t="str">
        <f>'Complete List_09252026'!C129</f>
        <v>Ian Lewis</v>
      </c>
      <c r="C3" s="14" t="str">
        <f>'Complete List_09252026'!E129</f>
        <v>209 Golden Gate Avenue</v>
      </c>
      <c r="D3" s="14" t="str">
        <f>'Complete List_09252026'!F129</f>
        <v>San Francisco</v>
      </c>
      <c r="E3" s="14" t="str">
        <f>'Complete List_09252026'!G129</f>
        <v>CA</v>
      </c>
      <c r="F3" s="14" t="str">
        <f>'Complete List_09252026'!H129</f>
        <v>94102</v>
      </c>
      <c r="G3" s="14">
        <f>'Complete List_09252026'!J129</f>
        <v>0</v>
      </c>
      <c r="H3" s="14" t="str">
        <f>'Complete List_09252026'!K129</f>
        <v>Physical</v>
      </c>
      <c r="I3" s="14" t="str">
        <f>'Complete List_09252026'!L129</f>
        <v>Chinatown, Downtown/Civic Center, Marina, Mission, Nob Hill, North Beach, Pacific Heights, Presidio, South of Market</v>
      </c>
    </row>
    <row r="4" spans="1:10" s="14" customFormat="1" ht="26.45" customHeight="1" x14ac:dyDescent="0.25">
      <c r="A4" s="14" t="str">
        <f>'Complete List_09252026'!D166</f>
        <v>Marina/Cow Hollow Neighbors &amp; Merchants</v>
      </c>
      <c r="B4" s="14" t="str">
        <f>'Complete List_09252026'!C166</f>
        <v>Patricia Vaughey</v>
      </c>
      <c r="C4" s="14" t="str">
        <f>'Complete List_09252026'!E166</f>
        <v xml:space="preserve">2269 Chestnut Street #990 </v>
      </c>
      <c r="D4" s="14" t="str">
        <f>'Complete List_09252026'!F166</f>
        <v>San Francisco</v>
      </c>
      <c r="E4" s="14" t="str">
        <f>'Complete List_09252026'!G166</f>
        <v>CA</v>
      </c>
      <c r="F4" s="14" t="str">
        <f>'Complete List_09252026'!H166</f>
        <v>94123</v>
      </c>
      <c r="G4" s="14">
        <f>'Complete List_09252026'!J166</f>
        <v>0</v>
      </c>
      <c r="H4" s="14" t="str">
        <f>'Complete List_09252026'!K166</f>
        <v>Physical</v>
      </c>
      <c r="I4" s="14" t="str">
        <f>'Complete List_09252026'!L166</f>
        <v>Marina, Pacific Heights, Western Addition</v>
      </c>
    </row>
    <row r="5" spans="1:10" s="14" customFormat="1" ht="26.45" customHeight="1" x14ac:dyDescent="0.25">
      <c r="A5" s="14" t="str">
        <f>'Complete List_09252026'!D212</f>
        <v>Oak Grove Group</v>
      </c>
      <c r="B5" s="14" t="str">
        <f>'Complete List_09252026'!C212</f>
        <v>Billy Lee</v>
      </c>
      <c r="C5" s="14" t="str">
        <f>'Complete List_09252026'!E212</f>
        <v>2505 Oak Street</v>
      </c>
      <c r="D5" s="14" t="str">
        <f>'Complete List_09252026'!F212</f>
        <v>Napa</v>
      </c>
      <c r="E5" s="14" t="str">
        <f>'Complete List_09252026'!G212</f>
        <v>CA</v>
      </c>
      <c r="F5" s="14">
        <f>'Complete List_09252026'!H212</f>
        <v>94559</v>
      </c>
      <c r="G5" s="14" t="str">
        <f>'Complete List_09252026'!J212</f>
        <v>leeway_e@yahoo.com</v>
      </c>
      <c r="H5" s="14" t="str">
        <f>'Complete List_09252026'!K212</f>
        <v>Physical</v>
      </c>
      <c r="I5" s="14" t="str">
        <f>'Complete List_09252026'!L212</f>
        <v>Pacific Heights, Russian Hill, Marina, Nob Hill, Presidio, Presidio Heights, Sea Cliff, Noe Valley, Western Addition</v>
      </c>
    </row>
    <row r="6" spans="1:10" s="14" customFormat="1" x14ac:dyDescent="0.25">
      <c r="A6" s="14" t="str">
        <f>'Complete List_09252026'!D74</f>
        <v>Cow Hollow Association</v>
      </c>
      <c r="B6" s="14" t="str">
        <f>'Complete List_09252026'!C74</f>
        <v>Barbara Heffernan</v>
      </c>
      <c r="C6" s="14" t="str">
        <f>'Complete List_09252026'!E74</f>
        <v>2423 Green Street</v>
      </c>
      <c r="D6" s="14" t="str">
        <f>'Complete List_09252026'!F74</f>
        <v>San Francisco</v>
      </c>
      <c r="E6" s="14" t="str">
        <f>'Complete List_09252026'!G74</f>
        <v>CA</v>
      </c>
      <c r="F6" s="14" t="str">
        <f>'Complete List_09252026'!H74</f>
        <v>94123</v>
      </c>
      <c r="G6" s="14" t="str">
        <f>'Complete List_09252026'!J74</f>
        <v>bjhassoc@comcast.net</v>
      </c>
      <c r="H6" s="14" t="str">
        <f>'Complete List_09252026'!K74</f>
        <v>Physical</v>
      </c>
      <c r="I6" s="14" t="str">
        <f>'Complete List_09252026'!L74</f>
        <v>Marina, Pacific Heights</v>
      </c>
    </row>
    <row r="7" spans="1:10" s="14" customFormat="1" x14ac:dyDescent="0.25">
      <c r="A7" s="14" t="str">
        <f>'Complete List_09252026'!D75</f>
        <v>Cow Hollow Association</v>
      </c>
      <c r="B7" s="14" t="str">
        <f>'Complete List_09252026'!C75</f>
        <v>Anne  Bertrand</v>
      </c>
      <c r="C7" s="14" t="str">
        <f>'Complete List_09252026'!E75</f>
        <v>1592 Union Street #500</v>
      </c>
      <c r="D7" s="14" t="str">
        <f>'Complete List_09252026'!F75</f>
        <v>San Francisco</v>
      </c>
      <c r="E7" s="14" t="str">
        <f>'Complete List_09252026'!G75</f>
        <v>CA</v>
      </c>
      <c r="F7" s="14">
        <f>'Complete List_09252026'!H75</f>
        <v>94123</v>
      </c>
      <c r="G7" s="14" t="str">
        <f>'Complete List_09252026'!J75</f>
        <v>bossbien@aol.com </v>
      </c>
      <c r="H7" s="14" t="str">
        <f>'Complete List_09252026'!K75</f>
        <v>Physical</v>
      </c>
      <c r="I7" s="14" t="str">
        <f>'Complete List_09252026'!L75</f>
        <v>Marina, Pacific Heights</v>
      </c>
    </row>
    <row r="8" spans="1:10" s="14" customFormat="1" ht="26.45" customHeight="1" x14ac:dyDescent="0.25">
      <c r="A8" s="14" t="str">
        <f>'Complete List_09252026'!D114</f>
        <v>Golden Gate Valley Neighborhood Association</v>
      </c>
      <c r="B8" s="14" t="str">
        <f>'Complete List_09252026'!C114</f>
        <v>Robert  Bardell</v>
      </c>
      <c r="C8" s="14" t="str">
        <f>'Complete List_09252026'!E114</f>
        <v>1922 Filbert Street</v>
      </c>
      <c r="D8" s="14" t="str">
        <f>'Complete List_09252026'!F114</f>
        <v>San Francisco</v>
      </c>
      <c r="E8" s="14" t="str">
        <f>'Complete List_09252026'!G114</f>
        <v>CA</v>
      </c>
      <c r="F8" s="14" t="str">
        <f>'Complete List_09252026'!H114</f>
        <v>94123</v>
      </c>
      <c r="G8" s="14" t="str">
        <f>'Complete List_09252026'!J114</f>
        <v>bbardell@comcast.net</v>
      </c>
      <c r="H8" s="14" t="str">
        <f>'Complete List_09252026'!K114</f>
        <v>Physical</v>
      </c>
      <c r="I8" s="14" t="str">
        <f>'Complete List_09252026'!L114</f>
        <v>Marina, Pacific Heights</v>
      </c>
    </row>
    <row r="9" spans="1:10" s="14" customFormat="1" ht="26.45" customHeight="1" x14ac:dyDescent="0.25">
      <c r="A9" s="14" t="str">
        <f>'Complete List_09252026'!D144</f>
        <v>Jordan Park Improvement Assocation</v>
      </c>
      <c r="B9" s="14" t="str">
        <f>'Complete List_09252026'!C144</f>
        <v>Rose Hillson</v>
      </c>
      <c r="C9" s="14" t="str">
        <f>'Complete List_09252026'!E144</f>
        <v>115 Parker Avenue</v>
      </c>
      <c r="D9" s="14" t="str">
        <f>'Complete List_09252026'!F144</f>
        <v>San Francisco</v>
      </c>
      <c r="E9" s="14" t="str">
        <f>'Complete List_09252026'!G144</f>
        <v>CA</v>
      </c>
      <c r="F9" s="14" t="str">
        <f>'Complete List_09252026'!H144</f>
        <v>94118-2607</v>
      </c>
      <c r="G9" s="14">
        <f>'Complete List_09252026'!J144</f>
        <v>0</v>
      </c>
      <c r="H9" s="14" t="str">
        <f>'Complete List_09252026'!K144</f>
        <v>Physical</v>
      </c>
      <c r="I9" s="14" t="str">
        <f>'Complete List_09252026'!L144</f>
        <v>Inner Richmond, Marina, Pacific Heights, Presidio Heights, Outer Richmond, Seacliff</v>
      </c>
    </row>
    <row r="10" spans="1:10" s="14" customFormat="1" ht="25.5" x14ac:dyDescent="0.25">
      <c r="A10" s="14" t="str">
        <f>'Complete List_09252026'!D245</f>
        <v>Save the Marina's Heritage</v>
      </c>
      <c r="B10" s="14" t="str">
        <f>'Complete List_09252026'!C245</f>
        <v>Michael Hebel</v>
      </c>
      <c r="C10" s="14" t="str">
        <f>'Complete List_09252026'!E245</f>
        <v>1555 Francisco Street</v>
      </c>
      <c r="D10" s="14" t="str">
        <f>'Complete List_09252026'!F245</f>
        <v>San Franicsco</v>
      </c>
      <c r="E10" s="14" t="str">
        <f>'Complete List_09252026'!G245</f>
        <v>CA</v>
      </c>
      <c r="F10" s="14">
        <f>'Complete List_09252026'!H245</f>
        <v>94123</v>
      </c>
      <c r="G10" s="14" t="str">
        <f>'Complete List_09252026'!J245</f>
        <v>savethemarinaheritage@gmail.com</v>
      </c>
      <c r="H10" s="14" t="str">
        <f>'Complete List_09252026'!K245</f>
        <v>Physical</v>
      </c>
      <c r="I10" s="14" t="str">
        <f>'Complete List_09252026'!L245</f>
        <v>Marina, Pacific Heights</v>
      </c>
    </row>
    <row r="11" spans="1:10" s="14" customFormat="1" ht="17.45" customHeight="1" x14ac:dyDescent="0.25">
      <c r="A11" s="68" t="s">
        <v>1836</v>
      </c>
      <c r="B11" s="72"/>
      <c r="C11" s="72"/>
      <c r="D11" s="72"/>
      <c r="E11" s="72"/>
      <c r="F11" s="72"/>
      <c r="G11" s="72"/>
      <c r="H11" s="72"/>
      <c r="I11" s="72"/>
    </row>
    <row r="12" spans="1:10" s="14" customFormat="1" ht="26.45" customHeight="1" x14ac:dyDescent="0.25">
      <c r="A12" s="14" t="str">
        <f>'Complete List_09252026'!D41</f>
        <v>Board of Supervisors</v>
      </c>
      <c r="B12" s="14" t="str">
        <f>'Complete List_09252026'!C41</f>
        <v>Stephen Sherrill</v>
      </c>
      <c r="C12" s="14" t="str">
        <f>'Complete List_09252026'!E41</f>
        <v>1 Dr. Carlton B Goodlett Place, Room #244</v>
      </c>
      <c r="D12" s="14" t="str">
        <f>'Complete List_09252026'!F41</f>
        <v>San Francisco</v>
      </c>
      <c r="E12" s="14" t="str">
        <f>'Complete List_09252026'!G41</f>
        <v>CA</v>
      </c>
      <c r="F12" s="14" t="str">
        <f>'Complete List_09252026'!H41</f>
        <v>94102-4689</v>
      </c>
      <c r="G12" s="14" t="str">
        <f>'Complete List_09252026'!J41</f>
        <v>SherrillStaff@sfgov.org; 
Lorenzo.Rosas@sfgov.org</v>
      </c>
      <c r="H12" s="14" t="str">
        <f>'Complete List_09252026'!K41</f>
        <v>Both</v>
      </c>
      <c r="I12" s="14" t="str">
        <f>'Complete List_09252026'!L41</f>
        <v>Marina, Pacific Heights, Presidio, Presidio Heights, Russian Hill, Seacliff, Western Addition</v>
      </c>
    </row>
    <row r="13" spans="1:10" s="26" customFormat="1" ht="18" customHeight="1" x14ac:dyDescent="0.25">
      <c r="A13" s="70" t="s">
        <v>1842</v>
      </c>
      <c r="B13" s="69"/>
      <c r="C13" s="69"/>
      <c r="D13" s="69"/>
      <c r="E13" s="69"/>
      <c r="F13" s="69"/>
      <c r="G13" s="69"/>
      <c r="H13" s="69"/>
      <c r="I13" s="69"/>
      <c r="J13" s="29"/>
    </row>
    <row r="14" spans="1:10" s="14" customFormat="1" x14ac:dyDescent="0.25">
      <c r="A14" s="14" t="str">
        <f>'Complete List_09252026'!D76</f>
        <v>Cow Hollow Association</v>
      </c>
      <c r="G14" s="14" t="str">
        <f>'Complete List_09252026'!J76</f>
        <v>brookesampson@yahoo.com</v>
      </c>
      <c r="H14" s="14" t="str">
        <f>'Complete List_09252026'!K76</f>
        <v>Electronic</v>
      </c>
      <c r="I14" s="14" t="str">
        <f>'Complete List_09252026'!L76</f>
        <v>Marina, Pacific Heights</v>
      </c>
    </row>
    <row r="15" spans="1:10" s="14" customFormat="1" ht="26.45" customHeight="1" x14ac:dyDescent="0.25">
      <c r="A15" s="14" t="str">
        <f>'Complete List_09252026'!D167</f>
        <v>Marina Community Association</v>
      </c>
      <c r="B15" s="14" t="str">
        <f>'Complete List_09252026'!C167</f>
        <v>Neighborhood Planning Committee</v>
      </c>
      <c r="C15" s="14" t="str">
        <f>'Complete List_09252026'!E167</f>
        <v>1517 North Point Street, #465</v>
      </c>
      <c r="D15" s="14" t="str">
        <f>'Complete List_09252026'!F167</f>
        <v>San Francisco</v>
      </c>
      <c r="E15" s="14" t="str">
        <f>'Complete List_09252026'!G167</f>
        <v>CA</v>
      </c>
      <c r="F15" s="14">
        <f>'Complete List_09252026'!H167</f>
        <v>94123</v>
      </c>
      <c r="G15" s="14" t="str">
        <f>'Complete List_09252026'!J167</f>
        <v>cbeckman@sfmca.org</v>
      </c>
      <c r="H15" s="14" t="str">
        <f>'Complete List_09252026'!K167</f>
        <v>Electronic</v>
      </c>
      <c r="I15" s="14" t="str">
        <f>'Complete List_09252026'!L167</f>
        <v>Marina, Presidio</v>
      </c>
    </row>
    <row r="16" spans="1:10" s="14" customFormat="1" x14ac:dyDescent="0.25">
      <c r="A16" s="14" t="str">
        <f>'Complete List_09252026'!D298</f>
        <v>Union Street Association</v>
      </c>
      <c r="B16" s="14" t="str">
        <f>'Complete List_09252026'!C298</f>
        <v>Lesley Leonhardt</v>
      </c>
      <c r="C16" s="14" t="str">
        <f>'Complete List_09252026'!E298</f>
        <v>PO Box 470393</v>
      </c>
      <c r="D16" s="14" t="str">
        <f>'Complete List_09252026'!F298</f>
        <v>San Francisco</v>
      </c>
      <c r="E16" s="14" t="str">
        <f>'Complete List_09252026'!G298</f>
        <v>CA</v>
      </c>
      <c r="F16" s="14">
        <f>'Complete List_09252026'!H298</f>
        <v>94147</v>
      </c>
      <c r="G16" s="14" t="str">
        <f>'Complete List_09252026'!J298</f>
        <v>LL@imagesnorth.com</v>
      </c>
      <c r="H16" s="14" t="str">
        <f>'Complete List_09252026'!K298</f>
        <v>Electronic</v>
      </c>
      <c r="I16" s="14" t="str">
        <f>'Complete List_09252026'!L298</f>
        <v>Marina, Pacific Heights</v>
      </c>
    </row>
    <row r="17" spans="1:9" x14ac:dyDescent="0.25">
      <c r="A17" s="14" t="str">
        <f>'Complete List_09252026'!D20</f>
        <v>Avila Street Corridor</v>
      </c>
      <c r="B17" s="14" t="str">
        <f>'Complete List_09252026'!C20</f>
        <v>SatKartar Khalsa</v>
      </c>
      <c r="C17" s="14" t="str">
        <f>'Complete List_09252026'!E20</f>
        <v>333 Avila Street</v>
      </c>
      <c r="D17" s="14" t="str">
        <f>'Complete List_09252026'!F20</f>
        <v>San Francisco</v>
      </c>
      <c r="E17" s="14" t="str">
        <f>'Complete List_09252026'!G20</f>
        <v>CA</v>
      </c>
      <c r="F17" s="14">
        <f>'Complete List_09252026'!H20</f>
        <v>94123</v>
      </c>
      <c r="G17" s="14" t="str">
        <f>'Complete List_09252026'!J20</f>
        <v>avilastreetcorridor@gmail.com</v>
      </c>
      <c r="H17" s="14" t="str">
        <f>'Complete List_09252026'!K20</f>
        <v>Electronic</v>
      </c>
      <c r="I17" s="14" t="str">
        <f>'Complete List_09252026'!L20</f>
        <v>Marina</v>
      </c>
    </row>
  </sheetData>
  <autoFilter ref="A1:I1" xr:uid="{00000000-0009-0000-0000-000011000000}">
    <sortState xmlns:xlrd2="http://schemas.microsoft.com/office/spreadsheetml/2017/richdata2" ref="A2:I15">
      <sortCondition descending="1" ref="H1"/>
    </sortState>
  </autoFilter>
  <mergeCells count="3">
    <mergeCell ref="A13:I13"/>
    <mergeCell ref="A2:I2"/>
    <mergeCell ref="A11:I11"/>
  </mergeCells>
  <pageMargins left="0.7" right="0.7" top="0.75" bottom="0.75" header="0.3" footer="0.3"/>
  <pageSetup scale="53"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J47"/>
  <sheetViews>
    <sheetView topLeftCell="A12" zoomScale="80" zoomScaleNormal="80" workbookViewId="0">
      <selection activeCell="A17" sqref="A17:XFD17"/>
    </sheetView>
  </sheetViews>
  <sheetFormatPr defaultColWidth="8.85546875" defaultRowHeight="12.75" x14ac:dyDescent="0.25"/>
  <cols>
    <col min="1" max="1" width="36.140625" style="5" customWidth="1"/>
    <col min="2" max="2" width="21" style="5" customWidth="1"/>
    <col min="3" max="3" width="28.7109375" style="5" customWidth="1"/>
    <col min="4" max="4" width="14.140625" style="5" customWidth="1"/>
    <col min="5" max="5" width="8.85546875" style="5" customWidth="1"/>
    <col min="6" max="6" width="8.85546875" style="8" customWidth="1"/>
    <col min="7" max="8" width="30.140625" style="5" customWidth="1"/>
    <col min="9" max="9" width="49" style="5" customWidth="1"/>
    <col min="10" max="10" width="8.85546875" style="5" customWidth="1"/>
    <col min="11" max="16384" width="8.85546875" style="5"/>
  </cols>
  <sheetData>
    <row r="1" spans="1:10" s="4" customFormat="1" ht="18" customHeight="1" x14ac:dyDescent="0.25">
      <c r="A1" s="4" t="s">
        <v>3</v>
      </c>
      <c r="B1" s="4" t="str">
        <f>'Complete List_09252026'!C1</f>
        <v>NAME</v>
      </c>
      <c r="C1" s="4" t="str">
        <f>'Complete List_09252026'!E1</f>
        <v>ADDRESS</v>
      </c>
      <c r="D1" s="4" t="str">
        <f>'Complete List_09252026'!F1</f>
        <v>CITY</v>
      </c>
      <c r="E1" s="4" t="str">
        <f>'Complete List_09252026'!G1</f>
        <v>STATE</v>
      </c>
      <c r="F1" s="10" t="str">
        <f>'Complete List_09252026'!H1</f>
        <v>ZIP</v>
      </c>
      <c r="G1" s="4" t="str">
        <f>'Complete List_09252026'!J1</f>
        <v>EMAIL</v>
      </c>
      <c r="H1" s="4" t="s">
        <v>10</v>
      </c>
      <c r="I1" s="4" t="str">
        <f>'Complete List_09252026'!L1</f>
        <v>NEIGHBORHOOD OF INTEREST</v>
      </c>
    </row>
    <row r="2" spans="1:10" s="26" customFormat="1" ht="18" customHeight="1" x14ac:dyDescent="0.25">
      <c r="A2" s="71" t="s">
        <v>1835</v>
      </c>
      <c r="B2" s="69"/>
      <c r="C2" s="69"/>
      <c r="D2" s="69"/>
      <c r="E2" s="69"/>
      <c r="F2" s="69"/>
      <c r="G2" s="69"/>
      <c r="H2" s="69"/>
      <c r="I2" s="69"/>
      <c r="J2" s="28"/>
    </row>
    <row r="3" spans="1:10" s="14" customFormat="1" x14ac:dyDescent="0.25">
      <c r="A3" s="14" t="str">
        <f>'Complete List_09252026'!D69</f>
        <v>Coleridge St. Neighbors</v>
      </c>
      <c r="B3" s="14" t="str">
        <f>'Complete List_09252026'!C69</f>
        <v>Buddy Choy</v>
      </c>
      <c r="C3" s="14" t="str">
        <f>'Complete List_09252026'!E69</f>
        <v>157 Coleridge Street</v>
      </c>
      <c r="D3" s="14" t="str">
        <f>'Complete List_09252026'!F69</f>
        <v>San Francisco</v>
      </c>
      <c r="E3" s="14" t="str">
        <f>'Complete List_09252026'!G69</f>
        <v>CA</v>
      </c>
      <c r="F3" s="14" t="str">
        <f>'Complete List_09252026'!H69</f>
        <v>94110</v>
      </c>
      <c r="G3" s="14" t="str">
        <f>'Complete List_09252026'!J69</f>
        <v>choytate@gmail.com</v>
      </c>
      <c r="H3" s="14" t="str">
        <f>'Complete List_09252026'!K69</f>
        <v>Physical</v>
      </c>
      <c r="I3" s="14" t="str">
        <f>'Complete List_09252026'!L69</f>
        <v>Bernal Heights, Mission, Noe Valley</v>
      </c>
    </row>
    <row r="4" spans="1:10" s="14" customFormat="1" ht="39.6" customHeight="1" x14ac:dyDescent="0.25">
      <c r="A4" s="14" t="str">
        <f>'Complete List_09252026'!D129</f>
        <v>HERE Local 2</v>
      </c>
      <c r="B4" s="14" t="str">
        <f>'Complete List_09252026'!C129</f>
        <v>Ian Lewis</v>
      </c>
      <c r="C4" s="14" t="str">
        <f>'Complete List_09252026'!E129</f>
        <v>209 Golden Gate Avenue</v>
      </c>
      <c r="D4" s="14" t="str">
        <f>'Complete List_09252026'!F129</f>
        <v>San Francisco</v>
      </c>
      <c r="E4" s="14" t="str">
        <f>'Complete List_09252026'!G129</f>
        <v>CA</v>
      </c>
      <c r="F4" s="14" t="str">
        <f>'Complete List_09252026'!H129</f>
        <v>94102</v>
      </c>
      <c r="G4" s="14">
        <f>'Complete List_09252026'!J129</f>
        <v>0</v>
      </c>
      <c r="H4" s="14" t="str">
        <f>'Complete List_09252026'!K129</f>
        <v>Physical</v>
      </c>
      <c r="I4" s="14" t="str">
        <f>'Complete List_09252026'!L129</f>
        <v>Chinatown, Downtown/Civic Center, Marina, Mission, Nob Hill, North Beach, Pacific Heights, Presidio, South of Market</v>
      </c>
    </row>
    <row r="5" spans="1:10" s="14" customFormat="1" x14ac:dyDescent="0.25">
      <c r="A5" s="14" t="str">
        <f>'Complete List_09252026'!D155</f>
        <v>Liberty Hill Resident  Association</v>
      </c>
      <c r="B5" s="14" t="str">
        <f>'Complete List_09252026'!C155</f>
        <v>John Barbey</v>
      </c>
      <c r="C5" s="14" t="str">
        <f>'Complete List_09252026'!E155</f>
        <v>50 Liberty Street</v>
      </c>
      <c r="D5" s="14" t="str">
        <f>'Complete List_09252026'!F155</f>
        <v>San Francisco</v>
      </c>
      <c r="E5" s="14" t="str">
        <f>'Complete List_09252026'!G155</f>
        <v>CA</v>
      </c>
      <c r="F5" s="14" t="str">
        <f>'Complete List_09252026'!H155</f>
        <v>94110</v>
      </c>
      <c r="G5" s="14" t="str">
        <f>'Complete List_09252026'!J155</f>
        <v>villabarbei@earthlink.com</v>
      </c>
      <c r="H5" s="14" t="str">
        <f>'Complete List_09252026'!K155</f>
        <v>Physical</v>
      </c>
      <c r="I5" s="14" t="str">
        <f>'Complete List_09252026'!L155</f>
        <v>Mission</v>
      </c>
    </row>
    <row r="6" spans="1:10" s="14" customFormat="1" ht="26.45" customHeight="1" x14ac:dyDescent="0.25">
      <c r="A6" s="14" t="str">
        <f>'Complete List_09252026'!D170</f>
        <v>Market/Octavia Community Advisory Comm.</v>
      </c>
      <c r="B6" s="14" t="str">
        <f>'Complete List_09252026'!C170</f>
        <v>Ted Olsson</v>
      </c>
      <c r="C6" s="14" t="str">
        <f>'Complete List_09252026'!E170</f>
        <v>30 Sharon Street</v>
      </c>
      <c r="D6" s="14" t="str">
        <f>'Complete List_09252026'!F170</f>
        <v>San Francisco</v>
      </c>
      <c r="E6" s="14" t="str">
        <f>'Complete List_09252026'!G170</f>
        <v>CA</v>
      </c>
      <c r="F6" s="14" t="str">
        <f>'Complete List_09252026'!H170</f>
        <v>94114-1709</v>
      </c>
      <c r="G6" s="14" t="str">
        <f>'Complete List_09252026'!J170</f>
        <v>olssonted@yahoo.com</v>
      </c>
      <c r="H6" s="14" t="str">
        <f>'Complete List_09252026'!K170</f>
        <v>Physical</v>
      </c>
      <c r="I6" s="14" t="str">
        <f>'Complete List_09252026'!L170</f>
        <v>Castro/Upper Market, Downtown/Civic Center, Mission</v>
      </c>
    </row>
    <row r="7" spans="1:10" s="14" customFormat="1" x14ac:dyDescent="0.25">
      <c r="A7" s="14" t="str">
        <f>'Complete List_09252026'!D268</f>
        <v>SoMaBend Neighborhood Association</v>
      </c>
      <c r="B7" s="14" t="str">
        <f>'Complete List_09252026'!C268</f>
        <v>Eric Lopez</v>
      </c>
      <c r="C7" s="14" t="str">
        <f>'Complete List_09252026'!E268</f>
        <v>P.O. Box 410805</v>
      </c>
      <c r="D7" s="14" t="str">
        <f>'Complete List_09252026'!F268</f>
        <v>San Francisco</v>
      </c>
      <c r="E7" s="14" t="str">
        <f>'Complete List_09252026'!G268</f>
        <v>CA</v>
      </c>
      <c r="F7" s="14">
        <f>'Complete List_09252026'!H268</f>
        <v>94141</v>
      </c>
      <c r="G7" s="14" t="str">
        <f>'Complete List_09252026'!J268</f>
        <v>somabend.na@gmail.com</v>
      </c>
      <c r="H7" s="14" t="str">
        <f>'Complete List_09252026'!K268</f>
        <v>Physical</v>
      </c>
      <c r="I7" s="14" t="str">
        <f>'Complete List_09252026'!L268</f>
        <v xml:space="preserve">Downtown/Civic Center, Mission, South of Market </v>
      </c>
    </row>
    <row r="8" spans="1:10" s="14" customFormat="1" x14ac:dyDescent="0.25">
      <c r="A8" s="14" t="str">
        <f>'Complete List_09252026'!D304</f>
        <v>Valencia Corridor Merchant Association</v>
      </c>
      <c r="B8" s="14" t="str">
        <f>'Complete List_09252026'!C304</f>
        <v>Sean  Quigley</v>
      </c>
      <c r="C8" s="14" t="str">
        <f>'Complete List_09252026'!E304</f>
        <v>766 Valencia Street, 3rd Floor</v>
      </c>
      <c r="D8" s="14" t="str">
        <f>'Complete List_09252026'!F304</f>
        <v>San Francisco</v>
      </c>
      <c r="E8" s="14" t="str">
        <f>'Complete List_09252026'!G304</f>
        <v>CA</v>
      </c>
      <c r="F8" s="14">
        <f>'Complete List_09252026'!H304</f>
        <v>94110</v>
      </c>
      <c r="G8" s="14" t="str">
        <f>'Complete List_09252026'!J304</f>
        <v>seanq@paxtongate.com</v>
      </c>
      <c r="H8" s="14" t="str">
        <f>'Complete List_09252026'!K304</f>
        <v>Physical</v>
      </c>
      <c r="I8" s="14" t="str">
        <f>'Complete List_09252026'!L304</f>
        <v>Castro/Upper Market, Mission, Potrero Hill</v>
      </c>
    </row>
    <row r="9" spans="1:10" s="14" customFormat="1" x14ac:dyDescent="0.25">
      <c r="A9" s="14" t="str">
        <f>'Complete List_09252026'!D315</f>
        <v>Wild Equity Institute</v>
      </c>
      <c r="B9" s="14" t="str">
        <f>'Complete List_09252026'!C315</f>
        <v>Brent Plater</v>
      </c>
      <c r="C9" s="14" t="str">
        <f>'Complete List_09252026'!E315</f>
        <v>474 Valencia Street Suite 295</v>
      </c>
      <c r="D9" s="14" t="str">
        <f>'Complete List_09252026'!F315</f>
        <v>San Francisco</v>
      </c>
      <c r="E9" s="14" t="str">
        <f>'Complete List_09252026'!G315</f>
        <v>CA</v>
      </c>
      <c r="F9" s="14">
        <f>'Complete List_09252026'!H315</f>
        <v>94103</v>
      </c>
      <c r="G9" s="14" t="str">
        <f>'Complete List_09252026'!J315</f>
        <v>bplater@wildequity.org</v>
      </c>
      <c r="H9" s="14" t="str">
        <f>'Complete List_09252026'!K315</f>
        <v>Physical</v>
      </c>
      <c r="I9" s="14" t="str">
        <f>'Complete List_09252026'!L315</f>
        <v>Mission</v>
      </c>
    </row>
    <row r="10" spans="1:10" s="14" customFormat="1" x14ac:dyDescent="0.25">
      <c r="A10" s="14" t="str">
        <f>'Complete List_09252026'!D50</f>
        <v>Calle 24 Latino Cultural District</v>
      </c>
      <c r="B10" s="14" t="str">
        <f>'Complete List_09252026'!C50</f>
        <v>Erick Arguello</v>
      </c>
      <c r="C10" s="14" t="str">
        <f>'Complete List_09252026'!E50</f>
        <v>1065 A  Hampshire Street</v>
      </c>
      <c r="D10" s="14" t="str">
        <f>'Complete List_09252026'!F50</f>
        <v>San Francisco</v>
      </c>
      <c r="E10" s="14" t="str">
        <f>'Complete List_09252026'!G50</f>
        <v>CA</v>
      </c>
      <c r="F10" s="14" t="str">
        <f>'Complete List_09252026'!H50</f>
        <v>94110</v>
      </c>
      <c r="G10" s="14" t="str">
        <f>'Complete List_09252026'!J50</f>
        <v>eriq94110@aol.com</v>
      </c>
      <c r="H10" s="14" t="str">
        <f>'Complete List_09252026'!K50</f>
        <v>Physical</v>
      </c>
      <c r="I10" s="14" t="str">
        <f>'Complete List_09252026'!L50</f>
        <v>Mission</v>
      </c>
    </row>
    <row r="11" spans="1:10" s="14" customFormat="1" x14ac:dyDescent="0.25">
      <c r="A11" s="14" t="str">
        <f>'Complete List_09252026'!D77</f>
        <v>Cultural Action Network</v>
      </c>
      <c r="B11" s="14" t="str">
        <f>'Complete List_09252026'!C77</f>
        <v>Rick Hall</v>
      </c>
      <c r="C11" s="14" t="str">
        <f>'Complete List_09252026'!E77</f>
        <v>2940 16th Street, #200-1</v>
      </c>
      <c r="D11" s="14" t="str">
        <f>'Complete List_09252026'!F77</f>
        <v>San Francisco</v>
      </c>
      <c r="E11" s="14" t="str">
        <f>'Complete List_09252026'!G77</f>
        <v>CA</v>
      </c>
      <c r="F11" s="14">
        <f>'Complete List_09252026'!H77</f>
        <v>94103</v>
      </c>
      <c r="G11" s="14" t="str">
        <f>'Complete List_09252026'!J77</f>
        <v>rclistad@gmail.com</v>
      </c>
      <c r="H11" s="14" t="str">
        <f>'Complete List_09252026'!K77</f>
        <v>Physical</v>
      </c>
      <c r="I11" s="14" t="str">
        <f>'Complete List_09252026'!L77</f>
        <v>Mission</v>
      </c>
    </row>
    <row r="12" spans="1:10" s="14" customFormat="1" x14ac:dyDescent="0.25">
      <c r="A12" s="14" t="str">
        <f>'Complete List_09252026'!D194</f>
        <v>Native American Health Center</v>
      </c>
      <c r="B12" s="14" t="str">
        <f>'Complete List_09252026'!C194</f>
        <v xml:space="preserve"> </v>
      </c>
      <c r="C12" s="14" t="str">
        <f>'Complete List_09252026'!E194</f>
        <v>160 Capp Street</v>
      </c>
      <c r="D12" s="14" t="str">
        <f>'Complete List_09252026'!F194</f>
        <v>San Francisco</v>
      </c>
      <c r="E12" s="14" t="str">
        <f>'Complete List_09252026'!G194</f>
        <v>CA</v>
      </c>
      <c r="F12" s="14">
        <f>'Complete List_09252026'!H194</f>
        <v>94110</v>
      </c>
      <c r="G12" s="14">
        <f>'Complete List_09252026'!J194</f>
        <v>0</v>
      </c>
      <c r="H12" s="14" t="str">
        <f>'Complete List_09252026'!K194</f>
        <v>Physical</v>
      </c>
      <c r="I12" s="14" t="str">
        <f>'Complete List_09252026'!L194</f>
        <v>Mission</v>
      </c>
    </row>
    <row r="13" spans="1:10" s="14" customFormat="1" ht="39.6" customHeight="1" x14ac:dyDescent="0.25">
      <c r="A13" s="14" t="str">
        <f>'Complete List_09252026'!D228</f>
        <v>People Organizing to Demand Environmental and Economic Rights (PODER)</v>
      </c>
      <c r="B13" s="14" t="str">
        <f>'Complete List_09252026'!C228</f>
        <v>Antonio Diaz</v>
      </c>
      <c r="C13" s="14" t="str">
        <f>'Complete List_09252026'!E228</f>
        <v>474 Valencia Street #125</v>
      </c>
      <c r="D13" s="14" t="str">
        <f>'Complete List_09252026'!F228</f>
        <v>San Francisco</v>
      </c>
      <c r="E13" s="14" t="str">
        <f>'Complete List_09252026'!G228</f>
        <v>CA</v>
      </c>
      <c r="F13" s="14" t="str">
        <f>'Complete List_09252026'!H228</f>
        <v>94103</v>
      </c>
      <c r="G13" s="14" t="str">
        <f>'Complete List_09252026'!J228</f>
        <v>info@podersf.org</v>
      </c>
      <c r="H13" s="14" t="str">
        <f>'Complete List_09252026'!K228</f>
        <v>Physical</v>
      </c>
      <c r="I13" s="14" t="str">
        <f>'Complete List_09252026'!L228</f>
        <v>Crocker Amazon, Excelsior, Mission, Ocean View, Outer Mission, South of Market</v>
      </c>
    </row>
    <row r="14" spans="1:10" s="14" customFormat="1" ht="26.45" customHeight="1" x14ac:dyDescent="0.25">
      <c r="A14" s="14" t="str">
        <f>'Complete List_09252026'!D14</f>
        <v>Alliance for a Better District 6</v>
      </c>
      <c r="B14" s="14" t="str">
        <f>'Complete List_09252026'!C14</f>
        <v>Michael Nulty</v>
      </c>
      <c r="C14" s="14" t="str">
        <f>'Complete List_09252026'!E14</f>
        <v>P.O. Box 420782</v>
      </c>
      <c r="D14" s="14" t="str">
        <f>'Complete List_09252026'!F14</f>
        <v>San Francisco</v>
      </c>
      <c r="E14" s="14" t="str">
        <f>'Complete List_09252026'!G14</f>
        <v>CA</v>
      </c>
      <c r="F14" s="14">
        <f>'Complete List_09252026'!H14</f>
        <v>94142</v>
      </c>
      <c r="G14" s="14" t="str">
        <f>'Complete List_09252026'!J14</f>
        <v>sf_district6@yahoo.com</v>
      </c>
      <c r="H14" s="14" t="str">
        <f>'Complete List_09252026'!K14</f>
        <v>Physical</v>
      </c>
      <c r="I14" s="14" t="str">
        <f>'Complete List_09252026'!L14</f>
        <v>Downtown/Civic Center, Financial District, Mission, Nob Hill, South of Market, Treasure Island, Western Addition</v>
      </c>
    </row>
    <row r="15" spans="1:10" s="14" customFormat="1" ht="26.45" customHeight="1" x14ac:dyDescent="0.25">
      <c r="A15" s="14" t="str">
        <f>'Complete List_09252026'!D156</f>
        <v>Liberty Hill Neighborhood Association (LHNA)</v>
      </c>
      <c r="B15" s="14" t="str">
        <f>'Complete List_09252026'!C156</f>
        <v>Dr. Elizabeth Fromer</v>
      </c>
      <c r="C15" s="14" t="str">
        <f>'Complete List_09252026'!E156</f>
        <v>338 Lexington Street</v>
      </c>
      <c r="D15" s="14" t="str">
        <f>'Complete List_09252026'!F156</f>
        <v>San Francisco</v>
      </c>
      <c r="E15" s="14" t="str">
        <f>'Complete List_09252026'!G156</f>
        <v>CA</v>
      </c>
      <c r="F15" s="14">
        <f>'Complete List_09252026'!H156</f>
        <v>94110</v>
      </c>
      <c r="G15" s="14" t="str">
        <f>'Complete List_09252026'!J156</f>
        <v>efromer3@gmail.com</v>
      </c>
      <c r="H15" s="14" t="str">
        <f>'Complete List_09252026'!K156</f>
        <v>Physical</v>
      </c>
      <c r="I15" s="14" t="str">
        <f>'Complete List_09252026'!L156</f>
        <v>Mission</v>
      </c>
    </row>
    <row r="16" spans="1:10" s="14" customFormat="1" x14ac:dyDescent="0.25">
      <c r="A16" s="14" t="str">
        <f>'Complete List_09252026'!D220</f>
        <v>Our Mission No Eviction</v>
      </c>
      <c r="B16" s="14" t="str">
        <f>'Complete List_09252026'!C220</f>
        <v>Roberto  Hernandez</v>
      </c>
      <c r="C16" s="14" t="str">
        <f>'Complete List_09252026'!E220</f>
        <v>1333 Florida Street</v>
      </c>
      <c r="D16" s="14" t="str">
        <f>'Complete List_09252026'!F220</f>
        <v>San Francisco</v>
      </c>
      <c r="E16" s="14" t="str">
        <f>'Complete List_09252026'!G220</f>
        <v>CA</v>
      </c>
      <c r="F16" s="14">
        <f>'Complete List_09252026'!H220</f>
        <v>94110</v>
      </c>
      <c r="G16" s="14" t="str">
        <f>'Complete List_09252026'!J220</f>
        <v>latinzoneprod@aol.com</v>
      </c>
      <c r="H16" s="14" t="str">
        <f>'Complete List_09252026'!K220</f>
        <v>Physical</v>
      </c>
      <c r="I16" s="14" t="str">
        <f>'Complete List_09252026'!L220</f>
        <v>Mission</v>
      </c>
    </row>
    <row r="17" spans="1:10" s="14" customFormat="1" x14ac:dyDescent="0.25">
      <c r="A17" s="14" t="str">
        <f>'Complete List_09252026'!D264</f>
        <v>SOMA Leadership Council</v>
      </c>
      <c r="B17" s="14" t="str">
        <f>'Complete List_09252026'!C264</f>
        <v>Jaime Whitaker</v>
      </c>
      <c r="C17" s="14" t="str">
        <f>'Complete List_09252026'!E264</f>
        <v>201 Harrison Street Apt. 229</v>
      </c>
      <c r="D17" s="14" t="str">
        <f>'Complete List_09252026'!F264</f>
        <v>San Francisco</v>
      </c>
      <c r="E17" s="14" t="str">
        <f>'Complete List_09252026'!G264</f>
        <v>CA</v>
      </c>
      <c r="F17" s="14">
        <f>'Complete List_09252026'!H264</f>
        <v>94105</v>
      </c>
      <c r="G17" s="14" t="str">
        <f>'Complete List_09252026'!J264</f>
        <v>rinconhill@gmail.com</v>
      </c>
      <c r="H17" s="14" t="str">
        <f>'Complete List_09252026'!K264</f>
        <v>Physical</v>
      </c>
      <c r="I17" s="14" t="str">
        <f>'Complete List_09252026'!L264</f>
        <v>Mission, South of Market</v>
      </c>
    </row>
    <row r="18" spans="1:10" s="26" customFormat="1" ht="18" customHeight="1" x14ac:dyDescent="0.25">
      <c r="A18" s="68" t="s">
        <v>1836</v>
      </c>
      <c r="B18" s="69"/>
      <c r="C18" s="69"/>
      <c r="D18" s="69"/>
      <c r="E18" s="69"/>
      <c r="F18" s="69"/>
      <c r="G18" s="69"/>
      <c r="H18" s="69"/>
      <c r="I18" s="69"/>
      <c r="J18" s="28"/>
    </row>
    <row r="19" spans="1:10" s="14" customFormat="1" ht="45.75" customHeight="1" x14ac:dyDescent="0.25">
      <c r="A19" s="14" t="str">
        <f>'Complete List_09252026'!D44</f>
        <v>Board of Supervisors</v>
      </c>
      <c r="B19" s="14" t="str">
        <f>'Complete List_09252026'!C44</f>
        <v>Jackie Fielder</v>
      </c>
      <c r="C19" s="14" t="str">
        <f>'Complete List_09252026'!E44</f>
        <v>1 Dr. Carlton B Goodlett Place, Room #244</v>
      </c>
      <c r="D19" s="14" t="str">
        <f>'Complete List_09252026'!F44</f>
        <v>San Francisco</v>
      </c>
      <c r="E19" s="14" t="str">
        <f>'Complete List_09252026'!G44</f>
        <v>CA</v>
      </c>
      <c r="F19" s="14" t="str">
        <f>'Complete List_09252026'!H44</f>
        <v>94102-4689</v>
      </c>
      <c r="G19" s="14" t="str">
        <f>'Complete List_09252026'!J44</f>
        <v>FielderStaff@sfgov.org;
Ana.Herrera@sfgov.org;
Preston.Kilgore@sfgov.org</v>
      </c>
      <c r="H19" s="14" t="str">
        <f>'Complete List_09252026'!K44</f>
        <v>Both</v>
      </c>
      <c r="I19" s="14" t="str">
        <f>'Complete List_09252026'!L44</f>
        <v>Bernal Heights, Excelsior, Mission, Visitacion Valley</v>
      </c>
    </row>
    <row r="20" spans="1:10" s="26" customFormat="1" ht="18" customHeight="1" x14ac:dyDescent="0.25">
      <c r="A20" s="70" t="s">
        <v>1842</v>
      </c>
      <c r="B20" s="69"/>
      <c r="C20" s="69"/>
      <c r="D20" s="69"/>
      <c r="E20" s="69"/>
      <c r="F20" s="69"/>
      <c r="G20" s="69"/>
      <c r="H20" s="69"/>
      <c r="I20" s="69"/>
      <c r="J20" s="29"/>
    </row>
    <row r="21" spans="1:10" s="14" customFormat="1" ht="26.45" customHeight="1" x14ac:dyDescent="0.25">
      <c r="A21" s="14" t="str">
        <f>'Complete List_09252026'!D128</f>
        <v>Hayes Valley Safe</v>
      </c>
      <c r="B21" s="14" t="str">
        <f>'Complete List_09252026'!C128</f>
        <v>Richard Johnson</v>
      </c>
      <c r="C21" s="14" t="str">
        <f>'Complete List_09252026'!E128</f>
        <v>415 Buchanan St Apt C</v>
      </c>
      <c r="D21" s="14" t="str">
        <f>'Complete List_09252026'!F128</f>
        <v>San Francisco</v>
      </c>
      <c r="E21" s="14" t="str">
        <f>'Complete List_09252026'!G128</f>
        <v>CA</v>
      </c>
      <c r="F21" s="14">
        <f>'Complete List_09252026'!H128</f>
        <v>94102</v>
      </c>
      <c r="G21" s="14" t="str">
        <f>'Complete List_09252026'!J128</f>
        <v>info@hvsafe.com</v>
      </c>
      <c r="H21" s="14" t="str">
        <f>'Complete List_09252026'!K128</f>
        <v>Electronic</v>
      </c>
      <c r="I21" s="14" t="str">
        <f>'Complete List_09252026'!L128</f>
        <v>Castro/Upper Market, Downtown/Civic Center, Mission, South of Market, Western Addition</v>
      </c>
    </row>
    <row r="22" spans="1:10" s="14" customFormat="1" ht="26.45" customHeight="1" x14ac:dyDescent="0.25">
      <c r="A22" s="14" t="str">
        <f>'Complete List_09252026'!D127</f>
        <v xml:space="preserve">Hayes Valley Small Business Association </v>
      </c>
      <c r="B22" s="14" t="str">
        <f>'Complete List_09252026'!C127</f>
        <v>Ramiz Y</v>
      </c>
      <c r="C22" s="14" t="str">
        <f>'Complete List_09252026'!E127</f>
        <v>559 Hayes Street</v>
      </c>
      <c r="D22" s="14" t="str">
        <f>'Complete List_09252026'!F127</f>
        <v>San Francisco</v>
      </c>
      <c r="E22" s="14" t="str">
        <f>'Complete List_09252026'!G127</f>
        <v>CA</v>
      </c>
      <c r="F22" s="14">
        <f>'Complete List_09252026'!H127</f>
        <v>94102</v>
      </c>
      <c r="G22" s="14" t="str">
        <f>'Complete List_09252026'!J127</f>
        <v>info@hvsba.org</v>
      </c>
      <c r="H22" s="14" t="str">
        <f>'Complete List_09252026'!K127</f>
        <v>Electronic</v>
      </c>
      <c r="I22" s="14" t="str">
        <f>'Complete List_09252026'!L127</f>
        <v>Castro/Upper Market, Downtown/Civic Center, Mission, South of Market, Western Addition</v>
      </c>
    </row>
    <row r="23" spans="1:10" s="14" customFormat="1" ht="26.45" customHeight="1" x14ac:dyDescent="0.25">
      <c r="A23" s="14" t="str">
        <f>'Complete List_09252026'!D11</f>
        <v>19th Street/Oakwood Neighborhood Association</v>
      </c>
      <c r="B23" s="14" t="str">
        <f>'Complete List_09252026'!C11</f>
        <v xml:space="preserve">Marilyn Hersh
</v>
      </c>
      <c r="C23" s="14" t="str">
        <f>'Complete List_09252026'!E11</f>
        <v>3696 19th Street</v>
      </c>
      <c r="D23" s="14" t="str">
        <f>'Complete List_09252026'!F11</f>
        <v>San Francisco</v>
      </c>
      <c r="E23" s="14" t="str">
        <f>'Complete List_09252026'!G11</f>
        <v>CA</v>
      </c>
      <c r="F23" s="14">
        <f>'Complete List_09252026'!H11</f>
        <v>94110</v>
      </c>
      <c r="G23" s="14" t="str">
        <f>'Complete List_09252026'!J11</f>
        <v>hershmari@gmail.com</v>
      </c>
      <c r="H23" s="14" t="str">
        <f>'Complete List_09252026'!K11</f>
        <v>Electronic</v>
      </c>
      <c r="I23" s="14" t="str">
        <f>'Complete List_09252026'!L11</f>
        <v>Mission</v>
      </c>
    </row>
    <row r="24" spans="1:10" s="14" customFormat="1" ht="26.45" customHeight="1" x14ac:dyDescent="0.25">
      <c r="A24" s="14" t="str">
        <f>'Complete List_09252026'!D12</f>
        <v>19th Street/Oakwood Neighborhood Association</v>
      </c>
      <c r="B24" s="14" t="str">
        <f>'Complete List_09252026'!C12</f>
        <v>Leslie Chin</v>
      </c>
      <c r="C24" s="14" t="str">
        <f>'Complete List_09252026'!E12</f>
        <v>41 Oakwood</v>
      </c>
      <c r="D24" s="14" t="str">
        <f>'Complete List_09252026'!F12</f>
        <v>San Francisco</v>
      </c>
      <c r="E24" s="14" t="str">
        <f>'Complete List_09252026'!G12</f>
        <v>CA</v>
      </c>
      <c r="F24" s="14">
        <f>'Complete List_09252026'!H12</f>
        <v>94110</v>
      </c>
      <c r="G24" s="14" t="str">
        <f>'Complete List_09252026'!J12</f>
        <v>lchinflute@gmail.com</v>
      </c>
      <c r="H24" s="14" t="str">
        <f>'Complete List_09252026'!K12</f>
        <v>Electronic</v>
      </c>
      <c r="I24" s="14" t="str">
        <f>'Complete List_09252026'!L12</f>
        <v>Mission</v>
      </c>
    </row>
    <row r="25" spans="1:10" s="14" customFormat="1" ht="25.5" x14ac:dyDescent="0.25">
      <c r="A25" s="14" t="str">
        <f>'Complete List_09252026'!D8</f>
        <v>2887 Folsom Street Concerned Residents</v>
      </c>
      <c r="B25" s="14" t="str">
        <f>'Complete List_09252026'!C8</f>
        <v>Edward Stiel</v>
      </c>
      <c r="C25" s="14" t="str">
        <f>'Complete List_09252026'!E8</f>
        <v>2887 Folsom Street</v>
      </c>
      <c r="D25" s="14" t="str">
        <f>'Complete List_09252026'!F8</f>
        <v>San Francisco</v>
      </c>
      <c r="E25" s="14" t="str">
        <f>'Complete List_09252026'!G8</f>
        <v>CA</v>
      </c>
      <c r="F25" s="14">
        <f>'Complete List_09252026'!H8</f>
        <v>94110</v>
      </c>
      <c r="G25" s="14" t="str">
        <f>'Complete List_09252026'!J8</f>
        <v>eddiestiel@yahoo.com</v>
      </c>
      <c r="H25" s="14" t="str">
        <f>'Complete List_09252026'!K8</f>
        <v>Electronic</v>
      </c>
      <c r="I25" s="14" t="str">
        <f>'Complete List_09252026'!L8</f>
        <v>Mission</v>
      </c>
    </row>
    <row r="26" spans="1:10" s="14" customFormat="1" ht="26.45" customHeight="1" x14ac:dyDescent="0.25">
      <c r="A26" s="14" t="str">
        <f>'Complete List_09252026'!D58</f>
        <v>Central 26th Street Neighborhood Coalition</v>
      </c>
      <c r="B26" s="14" t="str">
        <f>'Complete List_09252026'!C58</f>
        <v>Zoee Astrachan</v>
      </c>
      <c r="C26" s="14" t="str">
        <f>'Complete List_09252026'!E58</f>
        <v>3441  26th Street</v>
      </c>
      <c r="D26" s="14" t="str">
        <f>'Complete List_09252026'!F58</f>
        <v>San Francisco</v>
      </c>
      <c r="E26" s="14" t="str">
        <f>'Complete List_09252026'!G58</f>
        <v>CA</v>
      </c>
      <c r="F26" s="14" t="str">
        <f>'Complete List_09252026'!H58</f>
        <v>94114</v>
      </c>
      <c r="G26" s="14" t="str">
        <f>'Complete List_09252026'!J58</f>
        <v>za@intersticearchitects.com</v>
      </c>
      <c r="H26" s="14" t="str">
        <f>'Complete List_09252026'!K58</f>
        <v>Electronic</v>
      </c>
      <c r="I26" s="14" t="str">
        <f>'Complete List_09252026'!L58</f>
        <v>Mission</v>
      </c>
    </row>
    <row r="27" spans="1:10" s="14" customFormat="1" ht="26.45" customHeight="1" x14ac:dyDescent="0.25">
      <c r="A27" s="14" t="str">
        <f>'Complete List_09252026'!D86</f>
        <v>Dolores Heights Improvement Club-DRC</v>
      </c>
      <c r="B27" s="14" t="str">
        <f>'Complete List_09252026'!C86</f>
        <v xml:space="preserve">Planning and Land Use Committee </v>
      </c>
      <c r="C27" s="14" t="str">
        <f>'Complete List_09252026'!E86</f>
        <v>4016 20th Street</v>
      </c>
      <c r="D27" s="14" t="str">
        <f>'Complete List_09252026'!F86</f>
        <v>San Francisco</v>
      </c>
      <c r="E27" s="14" t="str">
        <f>'Complete List_09252026'!G86</f>
        <v>CA</v>
      </c>
      <c r="F27" s="14" t="str">
        <f>'Complete List_09252026'!H86</f>
        <v>94114</v>
      </c>
      <c r="G27" s="14" t="str">
        <f>'Complete List_09252026'!J86</f>
        <v>plu@doloresheights.org</v>
      </c>
      <c r="H27" s="14" t="str">
        <f>'Complete List_09252026'!K86</f>
        <v>Electronic</v>
      </c>
      <c r="I27" s="14" t="str">
        <f>'Complete List_09252026'!L86</f>
        <v>Castro/Upper Market, Mission, Noe Valley</v>
      </c>
    </row>
    <row r="28" spans="1:10" s="14" customFormat="1" ht="26.45" customHeight="1" x14ac:dyDescent="0.25">
      <c r="A28" s="14" t="str">
        <f>'Complete List_09252026'!D88</f>
        <v>East Mission Improvement Association (EMIA)</v>
      </c>
      <c r="B28" s="14" t="str">
        <f>'Complete List_09252026'!C88</f>
        <v>Judith Berkowitz</v>
      </c>
      <c r="C28" s="14" t="str">
        <f>'Complete List_09252026'!E88</f>
        <v>2940 16th Street Room 200-1 (second floor)</v>
      </c>
      <c r="D28" s="14" t="str">
        <f>'Complete List_09252026'!F88</f>
        <v>San Francisco</v>
      </c>
      <c r="E28" s="14" t="str">
        <f>'Complete List_09252026'!G88</f>
        <v>CA</v>
      </c>
      <c r="F28" s="14">
        <f>'Complete List_09252026'!H88</f>
        <v>94103</v>
      </c>
      <c r="G28" s="14" t="str">
        <f>'Complete List_09252026'!J88</f>
        <v>zrants@gmail.com</v>
      </c>
      <c r="H28" s="14" t="str">
        <f>'Complete List_09252026'!K88</f>
        <v>Electronic</v>
      </c>
      <c r="I28" s="14" t="str">
        <f>'Complete List_09252026'!L88</f>
        <v>Mission</v>
      </c>
    </row>
    <row r="29" spans="1:10" s="14" customFormat="1" ht="26.45" customHeight="1" x14ac:dyDescent="0.25">
      <c r="A29" s="14" t="str">
        <f>'Complete List_09252026'!D119</f>
        <v>Greenaction for Health and Environmental Justice</v>
      </c>
      <c r="B29" s="14" t="str">
        <f>'Complete List_09252026'!C119</f>
        <v>Bradley Angel</v>
      </c>
      <c r="C29" s="14" t="str">
        <f>'Complete List_09252026'!E119</f>
        <v>315 Sutter Street, 2nd Floor</v>
      </c>
      <c r="D29" s="14" t="str">
        <f>'Complete List_09252026'!F119</f>
        <v>San Francisco</v>
      </c>
      <c r="E29" s="14" t="str">
        <f>'Complete List_09252026'!G119</f>
        <v>CA</v>
      </c>
      <c r="F29" s="14">
        <f>'Complete List_09252026'!H119</f>
        <v>94108</v>
      </c>
      <c r="G29" s="14" t="str">
        <f>'Complete List_09252026'!J119</f>
        <v>greenaction@greenaction.org</v>
      </c>
      <c r="H29" s="14" t="str">
        <f>'Complete List_09252026'!K119</f>
        <v>Electronic</v>
      </c>
      <c r="I29" s="14" t="str">
        <f>'Complete List_09252026'!L119</f>
        <v>Bayview, Mission, Potrero Hill, Visitacion Valley</v>
      </c>
    </row>
    <row r="30" spans="1:10" s="14" customFormat="1" ht="26.45" customHeight="1" x14ac:dyDescent="0.25">
      <c r="A30" s="14" t="str">
        <f>'Complete List_09252026'!D126</f>
        <v>Hayes Valley Neighborhood Association</v>
      </c>
      <c r="B30" s="14" t="str">
        <f>'Complete List_09252026'!C126</f>
        <v>Jennifer Laska</v>
      </c>
      <c r="C30" s="14" t="str">
        <f>'Complete List_09252026'!E126</f>
        <v>400 Grove Street, Suite 3</v>
      </c>
      <c r="D30" s="14" t="str">
        <f>'Complete List_09252026'!F126</f>
        <v>San Francisco</v>
      </c>
      <c r="E30" s="14" t="str">
        <f>'Complete List_09252026'!G126</f>
        <v>CA</v>
      </c>
      <c r="F30" s="14" t="str">
        <f>'Complete List_09252026'!H126</f>
        <v>94102</v>
      </c>
      <c r="G30" s="14" t="str">
        <f>'Complete List_09252026'!J126</f>
        <v>president@hayesvalleysf.org</v>
      </c>
      <c r="H30" s="14" t="str">
        <f>'Complete List_09252026'!K126</f>
        <v>Electronic</v>
      </c>
      <c r="I30" s="14" t="str">
        <f>'Complete List_09252026'!L126</f>
        <v>Castro/Upper Market, Downtown/Civic Center, Mission, South of Market, Western Addition</v>
      </c>
    </row>
    <row r="31" spans="1:10" s="14" customFormat="1" ht="26.45" customHeight="1" x14ac:dyDescent="0.25">
      <c r="A31" s="14" t="str">
        <f>'Complete List_09252026'!D184</f>
        <v>Mission Dolores Neighborhood Association</v>
      </c>
      <c r="B31" s="14" t="str">
        <f>'Complete List_09252026'!C184</f>
        <v>Peter Lewis</v>
      </c>
      <c r="C31" s="14" t="str">
        <f>'Complete List_09252026'!E184</f>
        <v>72 Landers Street</v>
      </c>
      <c r="D31" s="14" t="str">
        <f>'Complete List_09252026'!F184</f>
        <v>San Francisco</v>
      </c>
      <c r="E31" s="14" t="str">
        <f>'Complete List_09252026'!G184</f>
        <v>CA</v>
      </c>
      <c r="F31" s="14">
        <f>'Complete List_09252026'!H184</f>
        <v>94110</v>
      </c>
      <c r="G31" s="14" t="str">
        <f>'Complete List_09252026'!J184</f>
        <v>missiondna@earthlink.net</v>
      </c>
      <c r="H31" s="14" t="str">
        <f>'Complete List_09252026'!K184</f>
        <v>Electronic</v>
      </c>
      <c r="I31" s="14" t="str">
        <f>'Complete List_09252026'!L184</f>
        <v>Castro/Upper Market, Mission</v>
      </c>
    </row>
    <row r="32" spans="1:10" s="14" customFormat="1" ht="26.45" customHeight="1" x14ac:dyDescent="0.25">
      <c r="A32" s="14" t="str">
        <f>'Complete List_09252026'!D185</f>
        <v>Mission Economic Development Association</v>
      </c>
      <c r="B32" s="14" t="str">
        <f>'Complete List_09252026'!C185</f>
        <v xml:space="preserve">Jessica Rubio </v>
      </c>
      <c r="C32" s="14" t="str">
        <f>'Complete List_09252026'!E185</f>
        <v>2301 Mission Street #301</v>
      </c>
      <c r="D32" s="14" t="str">
        <f>'Complete List_09252026'!F185</f>
        <v>San Francisco</v>
      </c>
      <c r="E32" s="14" t="str">
        <f>'Complete List_09252026'!G185</f>
        <v>CA</v>
      </c>
      <c r="F32" s="14" t="str">
        <f>'Complete List_09252026'!H185</f>
        <v>94110</v>
      </c>
      <c r="G32" s="14" t="str">
        <f>'Complete List_09252026'!J185</f>
        <v>jrubio@medasf.org</v>
      </c>
      <c r="H32" s="14" t="str">
        <f>'Complete List_09252026'!K185</f>
        <v>Electronic</v>
      </c>
      <c r="I32" s="14" t="str">
        <f>'Complete List_09252026'!L185</f>
        <v>Excelsior, Mission, Outer Mission</v>
      </c>
    </row>
    <row r="33" spans="1:9" s="14" customFormat="1" ht="26.45" customHeight="1" x14ac:dyDescent="0.25">
      <c r="A33" s="14" t="str">
        <f>'Complete List_09252026'!D186</f>
        <v>Mission Local</v>
      </c>
      <c r="B33" s="14" t="str">
        <f>'Complete List_09252026'!C186</f>
        <v>Annika Hom</v>
      </c>
      <c r="C33" s="14" t="str">
        <f>'Complete List_09252026'!E186</f>
        <v>2489 Mission Street #14</v>
      </c>
      <c r="D33" s="14" t="str">
        <f>'Complete List_09252026'!F186</f>
        <v xml:space="preserve">San Francisco </v>
      </c>
      <c r="E33" s="14" t="str">
        <f>'Complete List_09252026'!G186</f>
        <v>CA</v>
      </c>
      <c r="F33" s="14">
        <f>'Complete List_09252026'!H186</f>
        <v>94110</v>
      </c>
      <c r="G33" s="14" t="str">
        <f>'Complete List_09252026'!J186</f>
        <v xml:space="preserve">joe.rivanobarros@missionlocal.com </v>
      </c>
      <c r="H33" s="14" t="str">
        <f>'Complete List_09252026'!K186</f>
        <v>Electronic</v>
      </c>
      <c r="I33" s="14" t="str">
        <f>'Complete List_09252026'!L186</f>
        <v>Bernal Heights, Mission</v>
      </c>
    </row>
    <row r="34" spans="1:9" s="14" customFormat="1" ht="38.25" customHeight="1" x14ac:dyDescent="0.25">
      <c r="A34" s="14" t="str">
        <f>'Complete List_09252026'!D187</f>
        <v>Mission Merchants Association</v>
      </c>
      <c r="B34" s="14" t="str">
        <f>'Complete List_09252026'!C187</f>
        <v>Philip Lesser</v>
      </c>
      <c r="C34" s="14" t="str">
        <f>'Complete List_09252026'!E187</f>
        <v>555 Laurel Avenue #501</v>
      </c>
      <c r="D34" s="14" t="str">
        <f>'Complete List_09252026'!F187</f>
        <v>San Mateo</v>
      </c>
      <c r="E34" s="14" t="str">
        <f>'Complete List_09252026'!G187</f>
        <v>CA</v>
      </c>
      <c r="F34" s="14">
        <f>'Complete List_09252026'!H187</f>
        <v>94401</v>
      </c>
      <c r="G34" s="14" t="str">
        <f>'Complete List_09252026'!J187</f>
        <v>pflesser555@outlook.com</v>
      </c>
      <c r="H34" s="14" t="str">
        <f>'Complete List_09252026'!K187</f>
        <v>Electronic</v>
      </c>
      <c r="I34" s="14" t="str">
        <f>'Complete List_09252026'!L187</f>
        <v>Mission</v>
      </c>
    </row>
    <row r="35" spans="1:9" s="14" customFormat="1" ht="41.25" customHeight="1" x14ac:dyDescent="0.25">
      <c r="A35" s="14" t="str">
        <f>'Complete List_09252026'!D189</f>
        <v>Mission Neighborhood Centers</v>
      </c>
      <c r="B35" s="14" t="str">
        <f>'Complete List_09252026'!C189</f>
        <v>Rafael Moreno</v>
      </c>
      <c r="C35" s="14" t="str">
        <f>'Complete List_09252026'!E189</f>
        <v>362 Capp St</v>
      </c>
      <c r="D35" s="14" t="str">
        <f>'Complete List_09252026'!F189</f>
        <v>San Francisco</v>
      </c>
      <c r="E35" s="14" t="str">
        <f>'Complete List_09252026'!G189</f>
        <v>CA</v>
      </c>
      <c r="F35" s="14">
        <f>'Complete List_09252026'!H189</f>
        <v>94110</v>
      </c>
      <c r="G35" s="14" t="str">
        <f>'Complete List_09252026'!J189</f>
        <v>rafael.moreno@mncsf.org</v>
      </c>
      <c r="H35" s="14" t="str">
        <f>'Complete List_09252026'!K189</f>
        <v>Electronic</v>
      </c>
      <c r="I35" s="14" t="str">
        <f>'Complete List_09252026'!L189</f>
        <v>Mission</v>
      </c>
    </row>
    <row r="36" spans="1:9" s="14" customFormat="1" ht="25.5" x14ac:dyDescent="0.25">
      <c r="A36" s="14" t="str">
        <f>'Complete List_09252026'!D232</f>
        <v>Potrero Boosters Neigborhood Association</v>
      </c>
      <c r="B36" s="14" t="str">
        <f>'Complete List_09252026'!C232</f>
        <v>J.R. Eppler</v>
      </c>
      <c r="C36" s="14" t="str">
        <f>'Complete List_09252026'!E232</f>
        <v>1459 18th Street, Suite 133</v>
      </c>
      <c r="D36" s="14" t="str">
        <f>'Complete List_09252026'!F232</f>
        <v>San Francisco</v>
      </c>
      <c r="E36" s="14" t="str">
        <f>'Complete List_09252026'!G232</f>
        <v>CA</v>
      </c>
      <c r="F36" s="14">
        <f>'Complete List_09252026'!H232</f>
        <v>94107</v>
      </c>
      <c r="G36" s="14" t="str">
        <f>'Complete List_09252026'!J232</f>
        <v>president@potreroboosters.org</v>
      </c>
      <c r="H36" s="14" t="str">
        <f>'Complete List_09252026'!K232</f>
        <v>Electronic</v>
      </c>
      <c r="I36" s="14" t="str">
        <f>'Complete List_09252026'!L232</f>
        <v>Mission, Potrero Hill, South of Market</v>
      </c>
    </row>
    <row r="37" spans="1:9" s="14" customFormat="1" x14ac:dyDescent="0.25">
      <c r="A37" s="14" t="str">
        <f>'Complete List_09252026'!D253</f>
        <v>San Francisco Christian Center</v>
      </c>
      <c r="B37" s="14" t="str">
        <f>'Complete List_09252026'!C253</f>
        <v>Cynthia Dillard</v>
      </c>
      <c r="C37" s="14" t="str">
        <f>'Complete List_09252026'!E253</f>
        <v>5845 Mission Street</v>
      </c>
      <c r="D37" s="14" t="str">
        <f>'Complete List_09252026'!F253</f>
        <v>San Francisco</v>
      </c>
      <c r="E37" s="14" t="str">
        <f>'Complete List_09252026'!G253</f>
        <v>CA</v>
      </c>
      <c r="F37" s="14">
        <f>'Complete List_09252026'!H253</f>
        <v>94112</v>
      </c>
      <c r="G37" s="14" t="str">
        <f>'Complete List_09252026'!J253</f>
        <v>cdillard@sfchristiancenter.org</v>
      </c>
      <c r="H37" s="14" t="str">
        <f>'Complete List_09252026'!K253</f>
        <v>Electronic</v>
      </c>
      <c r="I37" s="14" t="str">
        <f>'Complete List_09252026'!L253</f>
        <v>Mission</v>
      </c>
    </row>
    <row r="38" spans="1:9" s="14" customFormat="1" ht="39.6" customHeight="1" x14ac:dyDescent="0.25">
      <c r="A38" s="14" t="str">
        <f>'Complete List_09252026'!D255</f>
        <v>San Francisco Land Use Coalition (SFLUC)</v>
      </c>
      <c r="B38" s="14" t="str">
        <f>'Complete List_09252026'!C255</f>
        <v>Gary Weiss</v>
      </c>
      <c r="C38" s="14" t="str">
        <f>'Complete List_09252026'!E255</f>
        <v>78 Mars Street</v>
      </c>
      <c r="D38" s="14" t="str">
        <f>'Complete List_09252026'!F255</f>
        <v>San Francisco</v>
      </c>
      <c r="E38" s="14" t="str">
        <f>'Complete List_09252026'!G255</f>
        <v>CA</v>
      </c>
      <c r="F38" s="14">
        <f>'Complete List_09252026'!H255</f>
        <v>94114</v>
      </c>
      <c r="G38" s="14" t="str">
        <f>'Complete List_09252026'!J255</f>
        <v>garysfx@gmail.com</v>
      </c>
      <c r="H38" s="14" t="str">
        <f>'Complete List_09252026'!K255</f>
        <v>Electronic</v>
      </c>
      <c r="I38" s="14" t="str">
        <f>'Complete List_09252026'!L255</f>
        <v>Castro/Upper Market, Diamond Heights, Glen Park, Haight Ashbury, Mission, Noe Valley, South of Market, Twin Peaks, Upper Market, Western Addition</v>
      </c>
    </row>
    <row r="39" spans="1:9" s="14" customFormat="1" x14ac:dyDescent="0.25">
      <c r="A39" s="14" t="str">
        <f>'Complete List_09252026'!D300</f>
        <v>United to Save the Mission</v>
      </c>
      <c r="B39" s="14" t="str">
        <f>'Complete List_09252026'!C300</f>
        <v>Larisa Pedroncelli</v>
      </c>
      <c r="C39" s="14" t="str">
        <f>'Complete List_09252026'!E300</f>
        <v>2940 16th Street, Suite 216</v>
      </c>
      <c r="D39" s="14" t="str">
        <f>'Complete List_09252026'!F300</f>
        <v>San Francisco</v>
      </c>
      <c r="E39" s="14" t="str">
        <f>'Complete List_09252026'!G300</f>
        <v>CA</v>
      </c>
      <c r="F39" s="14">
        <f>'Complete List_09252026'!H300</f>
        <v>94103</v>
      </c>
      <c r="G39" s="14" t="str">
        <f>'Complete List_09252026'!J300</f>
        <v>circus@factory1.com</v>
      </c>
      <c r="H39" s="14" t="str">
        <f>'Complete List_09252026'!K300</f>
        <v>Electronic</v>
      </c>
      <c r="I39" s="14" t="str">
        <f>'Complete List_09252026'!L300</f>
        <v>Mission</v>
      </c>
    </row>
    <row r="40" spans="1:9" ht="26.45" customHeight="1" x14ac:dyDescent="0.25">
      <c r="A40" s="5" t="str">
        <f>'Complete List_09252026'!D53</f>
        <v>Castro LGBTQ Cultural District</v>
      </c>
      <c r="B40" s="5" t="str">
        <f>'Complete List_09252026'!C53</f>
        <v>Jesse Sanford &amp; Stephen Torres</v>
      </c>
      <c r="C40" s="5" t="str">
        <f>'Complete List_09252026'!E53</f>
        <v>1800 Market Street</v>
      </c>
      <c r="D40" s="5" t="str">
        <f>'Complete List_09252026'!F53</f>
        <v>San Francisco</v>
      </c>
      <c r="E40" s="5" t="str">
        <f>'Complete List_09252026'!G53</f>
        <v>CA</v>
      </c>
      <c r="F40" s="8">
        <f>'Complete List_09252026'!H53</f>
        <v>94102</v>
      </c>
      <c r="G40" s="5" t="str">
        <f>'Complete List_09252026'!J53</f>
        <v>landuse@castrolgbtq.org</v>
      </c>
      <c r="H40" s="5" t="str">
        <f>'Complete List_09252026'!K53</f>
        <v>Electronic</v>
      </c>
      <c r="I40" s="5" t="str">
        <f>'Complete List_09252026'!L53</f>
        <v>Bernal Heights, Castro/Upper Market, Downtown/Civic Center, Mission, Noe Valley, South of Market</v>
      </c>
    </row>
    <row r="41" spans="1:9" x14ac:dyDescent="0.25">
      <c r="A41" s="5" t="str">
        <f>'Complete List_09252026'!D257</f>
        <v>SFCOV</v>
      </c>
      <c r="B41" s="5" t="str">
        <f>'Complete List_09252026'!C257</f>
        <v>Chris Lee</v>
      </c>
      <c r="C41" s="5" t="str">
        <f>'Complete List_09252026'!E257</f>
        <v>P.O. Box 883392</v>
      </c>
      <c r="D41" s="5" t="str">
        <f>'Complete List_09252026'!F257</f>
        <v>San Francisco</v>
      </c>
      <c r="E41" s="5" t="str">
        <f>'Complete List_09252026'!G257</f>
        <v>CA</v>
      </c>
      <c r="F41" s="8">
        <f>'Complete List_09252026'!H257</f>
        <v>94188</v>
      </c>
      <c r="G41" s="5" t="str">
        <f>'Complete List_09252026'!J257</f>
        <v>neighbor@sfcov.org</v>
      </c>
      <c r="H41" s="5" t="str">
        <f>'Complete List_09252026'!K257</f>
        <v>Electronic</v>
      </c>
      <c r="I41" s="5" t="str">
        <f>'Complete List_09252026'!L257</f>
        <v>Bernal Heights, Mission, Potrero Hill</v>
      </c>
    </row>
    <row r="42" spans="1:9" ht="54" customHeight="1" x14ac:dyDescent="0.25">
      <c r="A42" s="5" t="str">
        <f>'Complete List_09252026'!D154</f>
        <v>Liberation Alliance for Economic and Social Change</v>
      </c>
      <c r="B42" s="5" t="str">
        <f>'Complete List_09252026'!C154</f>
        <v>Keith Pavlik</v>
      </c>
      <c r="C42" s="5" t="str">
        <f>'Complete List_09252026'!E154</f>
        <v>2969 Mission Street</v>
      </c>
      <c r="D42" s="5" t="str">
        <f>'Complete List_09252026'!F154</f>
        <v>San Francisco</v>
      </c>
      <c r="E42" s="5" t="str">
        <f>'Complete List_09252026'!G154</f>
        <v>CA</v>
      </c>
      <c r="F42" s="5">
        <f>'Complete List_09252026'!H154</f>
        <v>94110</v>
      </c>
      <c r="G42" s="5" t="str">
        <f>'Complete List_09252026'!J154</f>
        <v>info@liberationalliance.org</v>
      </c>
      <c r="H42" s="5" t="str">
        <f>'Complete List_09252026'!K154</f>
        <v>Electronic</v>
      </c>
      <c r="I42" s="5" t="str">
        <f>'Complete List_09252026'!L154</f>
        <v>Bayview, Bernal Heights, Castro/Upper Market, Chinatown, Downtown/Civic Center, Excelsior, Mission, Nob Hill, Noe Valley, Outer Mission, Potrero Hill, South of Market, Western Addition</v>
      </c>
    </row>
    <row r="43" spans="1:9" ht="26.45" customHeight="1" x14ac:dyDescent="0.25">
      <c r="A43" s="5" t="str">
        <f>'Complete List_09252026'!D188</f>
        <v>Mission Merchants Association</v>
      </c>
      <c r="B43" s="5" t="str">
        <f>'Complete List_09252026'!C188</f>
        <v>Ryen Motzek</v>
      </c>
      <c r="C43" s="5" t="str">
        <f>'Complete List_09252026'!E188</f>
        <v>PO Box 40280</v>
      </c>
      <c r="D43" s="5" t="str">
        <f>'Complete List_09252026'!F188</f>
        <v>San Francisco</v>
      </c>
      <c r="E43" s="5" t="str">
        <f>'Complete List_09252026'!G188</f>
        <v>CA</v>
      </c>
      <c r="F43" s="5">
        <f>'Complete List_09252026'!H188</f>
        <v>94140</v>
      </c>
      <c r="G43" s="5" t="str">
        <f>'Complete List_09252026'!J188</f>
        <v>ryen@missionmerchants.org; info@missionmerchants.org</v>
      </c>
      <c r="H43" s="5" t="str">
        <f>'Complete List_09252026'!K188</f>
        <v>Electronic</v>
      </c>
      <c r="I43" s="5" t="str">
        <f>'Complete List_09252026'!L188</f>
        <v>Mission</v>
      </c>
    </row>
    <row r="44" spans="1:9" x14ac:dyDescent="0.25">
      <c r="A44" s="5" t="str">
        <f>'Complete List_09252026'!D85</f>
        <v>Dogpatch Neighborhood Association</v>
      </c>
      <c r="B44" s="5" t="str">
        <f>'Complete List_09252026'!C85</f>
        <v>Donovan Lacy</v>
      </c>
      <c r="C44" s="5" t="str">
        <f>'Complete List_09252026'!E85</f>
        <v>1278 Minnesota Street</v>
      </c>
      <c r="D44" s="5" t="str">
        <f>'Complete List_09252026'!F85</f>
        <v>San Francisco</v>
      </c>
      <c r="E44" s="5" t="str">
        <f>'Complete List_09252026'!G85</f>
        <v>CA</v>
      </c>
      <c r="F44" s="5" t="str">
        <f>'Complete List_09252026'!H85</f>
        <v>94107</v>
      </c>
      <c r="G44" s="5" t="str">
        <f>'Complete List_09252026'!J85</f>
        <v>vp@dogpatchna.org</v>
      </c>
      <c r="H44" s="5" t="str">
        <f>'Complete List_09252026'!K85</f>
        <v>Electronic</v>
      </c>
      <c r="I44" s="5" t="str">
        <f>'Complete List_09252026'!L85</f>
        <v>Bayview, Mission, Potrero Hill, South of Market</v>
      </c>
    </row>
    <row r="45" spans="1:9" ht="26.45" customHeight="1" x14ac:dyDescent="0.25">
      <c r="A45" s="5" t="str">
        <f>'Complete List_09252026'!D84</f>
        <v>Dogpatch Neighborhood Association</v>
      </c>
      <c r="B45" s="5" t="str">
        <f>'Complete List_09252026'!C84</f>
        <v>Michael Berkowitz</v>
      </c>
      <c r="C45" s="5" t="str">
        <f>'Complete List_09252026'!E84</f>
        <v>1278 Minnesota Street</v>
      </c>
      <c r="D45" s="5" t="str">
        <f>'Complete List_09252026'!F84</f>
        <v>San Francisco</v>
      </c>
      <c r="E45" s="5" t="str">
        <f>'Complete List_09252026'!G84</f>
        <v>CA</v>
      </c>
      <c r="F45" s="5" t="str">
        <f>'Complete List_09252026'!H84</f>
        <v>94107</v>
      </c>
      <c r="G45" s="5" t="str">
        <f>'Complete List_09252026'!J84</f>
        <v>info@dogpatchna.org; president@dogpatchna.org</v>
      </c>
      <c r="H45" s="5" t="str">
        <f>'Complete List_09252026'!K84</f>
        <v>Electronic</v>
      </c>
      <c r="I45" s="5" t="str">
        <f>'Complete List_09252026'!L84</f>
        <v>Bayview, Mission, Potrero Hill, South of Market</v>
      </c>
    </row>
    <row r="46" spans="1:9" ht="30" customHeight="1" x14ac:dyDescent="0.25">
      <c r="A46" s="5" t="str">
        <f>'Complete List_09252026'!D83</f>
        <v xml:space="preserve">Dogpatch &amp; NW Potrero Hill Green Benefit District </v>
      </c>
      <c r="B46" s="5" t="str">
        <f>'Complete List_09252026'!C83</f>
        <v>Donovan Lacy</v>
      </c>
      <c r="C46" s="5" t="str">
        <f>'Complete List_09252026'!E83</f>
        <v>1459 18th Street #369</v>
      </c>
      <c r="D46" s="5" t="str">
        <f>'Complete List_09252026'!F83</f>
        <v>San Francisco</v>
      </c>
      <c r="E46" s="5" t="str">
        <f>'Complete List_09252026'!G83</f>
        <v>CA</v>
      </c>
      <c r="F46" s="5">
        <f>'Complete List_09252026'!H83</f>
        <v>94107</v>
      </c>
      <c r="G46" s="5" t="str">
        <f>'Complete List_09252026'!J83</f>
        <v xml:space="preserve">info@greenbenefit.org; 
donovan@greenbenefit.org </v>
      </c>
      <c r="H46" s="5" t="str">
        <f>'Complete List_09252026'!K83</f>
        <v>Electronic</v>
      </c>
      <c r="I46" s="5" t="str">
        <f>'Complete List_09252026'!L83</f>
        <v xml:space="preserve">Mission, Potrero Hill </v>
      </c>
    </row>
    <row r="47" spans="1:9" s="14" customFormat="1" ht="39.6" customHeight="1" x14ac:dyDescent="0.25">
      <c r="A47" s="14" t="str">
        <f>'Complete List_09252026'!D244</f>
        <v>San Franciscans for Reasonable Growth (SFRG)</v>
      </c>
      <c r="B47" s="14" t="str">
        <f>'Complete List_09252026'!C244</f>
        <v>Sue Hestor</v>
      </c>
      <c r="C47" s="14" t="str">
        <f>'Complete List_09252026'!E244</f>
        <v>329 Highland Ave</v>
      </c>
      <c r="D47" s="14" t="str">
        <f>'Complete List_09252026'!F244</f>
        <v>San Francisco</v>
      </c>
      <c r="E47" s="14" t="str">
        <f>'Complete List_09252026'!G244</f>
        <v>CA</v>
      </c>
      <c r="F47" s="14">
        <f>'Complete List_09252026'!H244</f>
        <v>94110</v>
      </c>
      <c r="G47" s="14" t="str">
        <f>'Complete List_09252026'!J244</f>
        <v>hestor@earthlink.net</v>
      </c>
      <c r="H47" s="14" t="s">
        <v>63</v>
      </c>
      <c r="I47" s="14" t="str">
        <f>'Complete List_09252026'!L244</f>
        <v>Bernal Heights, Chinatown, Downtown/Civic Center, Mission</v>
      </c>
    </row>
  </sheetData>
  <autoFilter ref="A1:I1" xr:uid="{00000000-0009-0000-0000-000012000000}">
    <sortState xmlns:xlrd2="http://schemas.microsoft.com/office/spreadsheetml/2017/richdata2" ref="A2:I38">
      <sortCondition descending="1" ref="H1"/>
    </sortState>
  </autoFilter>
  <mergeCells count="3">
    <mergeCell ref="A2:I2"/>
    <mergeCell ref="A18:I18"/>
    <mergeCell ref="A20:I20"/>
  </mergeCells>
  <pageMargins left="0.7" right="0.7" top="0.75" bottom="0.75" header="0.3" footer="0.3"/>
  <pageSetup scale="13" orientation="landscape" horizontalDpi="4294967292" verticalDpi="429496729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J25"/>
  <sheetViews>
    <sheetView zoomScale="75" zoomScaleNormal="75" zoomScalePageLayoutView="75" workbookViewId="0">
      <selection activeCell="A11" sqref="A11:XFD11"/>
    </sheetView>
  </sheetViews>
  <sheetFormatPr defaultColWidth="8.85546875" defaultRowHeight="12.75" x14ac:dyDescent="0.25"/>
  <cols>
    <col min="1" max="1" width="36.140625" style="5" customWidth="1"/>
    <col min="2" max="2" width="21" style="5" customWidth="1"/>
    <col min="3" max="3" width="28.7109375" style="5" customWidth="1"/>
    <col min="4" max="4" width="14.140625" style="5" customWidth="1"/>
    <col min="5" max="5" width="8.85546875" style="5" customWidth="1"/>
    <col min="6" max="6" width="8.85546875" style="8" customWidth="1"/>
    <col min="7" max="8" width="30.140625" style="5" customWidth="1"/>
    <col min="9" max="9" width="49" style="5" customWidth="1"/>
    <col min="10" max="10" width="8.85546875" style="5" customWidth="1"/>
    <col min="11" max="16384" width="8.85546875" style="5"/>
  </cols>
  <sheetData>
    <row r="1" spans="1:10" s="4" customFormat="1" ht="18" customHeight="1" x14ac:dyDescent="0.25">
      <c r="A1" s="4" t="s">
        <v>3</v>
      </c>
      <c r="B1" s="4" t="str">
        <f>'Complete List_09252026'!C1</f>
        <v>NAME</v>
      </c>
      <c r="C1" s="4" t="str">
        <f>'Complete List_09252026'!E1</f>
        <v>ADDRESS</v>
      </c>
      <c r="D1" s="4" t="str">
        <f>'Complete List_09252026'!F1</f>
        <v>CITY</v>
      </c>
      <c r="E1" s="4" t="str">
        <f>'Complete List_09252026'!G1</f>
        <v>STATE</v>
      </c>
      <c r="F1" s="10" t="str">
        <f>'Complete List_09252026'!H1</f>
        <v>ZIP</v>
      </c>
      <c r="G1" s="4" t="str">
        <f>'Complete List_09252026'!J1</f>
        <v>EMAIL</v>
      </c>
      <c r="H1" s="4" t="s">
        <v>10</v>
      </c>
      <c r="I1" s="4" t="str">
        <f>'Complete List_09252026'!L1</f>
        <v>NEIGHBORHOOD OF INTEREST</v>
      </c>
    </row>
    <row r="2" spans="1:10" s="26" customFormat="1" ht="18" customHeight="1" x14ac:dyDescent="0.25">
      <c r="A2" s="71" t="s">
        <v>1835</v>
      </c>
      <c r="B2" s="69"/>
      <c r="C2" s="69"/>
      <c r="D2" s="69"/>
      <c r="E2" s="69"/>
      <c r="F2" s="69"/>
      <c r="G2" s="69"/>
      <c r="H2" s="69"/>
      <c r="I2" s="69"/>
      <c r="J2" s="28"/>
    </row>
    <row r="3" spans="1:10" s="14" customFormat="1" ht="26.45" customHeight="1" x14ac:dyDescent="0.25">
      <c r="A3" s="14" t="str">
        <f>'Complete List_09252026'!D10</f>
        <v>District 3 Tenants</v>
      </c>
      <c r="B3" s="14" t="str">
        <f>'Complete List_09252026'!C10</f>
        <v>Jeffrey Kwong</v>
      </c>
      <c r="C3" s="14" t="str">
        <f>'Complete List_09252026'!E10</f>
        <v>1754 Hyde Street</v>
      </c>
      <c r="D3" s="14" t="str">
        <f>'Complete List_09252026'!F10</f>
        <v>San Francisco</v>
      </c>
      <c r="E3" s="14" t="str">
        <f>'Complete List_09252026'!G10</f>
        <v>CA</v>
      </c>
      <c r="F3" s="14">
        <f>'Complete List_09252026'!H10</f>
        <v>94106</v>
      </c>
      <c r="G3" s="14" t="str">
        <f>'Complete List_09252026'!J10</f>
        <v>cardinalsf@gmail.com</v>
      </c>
      <c r="H3" s="14" t="str">
        <f>'Complete List_09252026'!K10</f>
        <v>Physical</v>
      </c>
      <c r="I3" s="14" t="str">
        <f>'Complete List_09252026'!L10</f>
        <v>Chinatown, Downtown Civic Center, Financial District, Nob Hill, North Beach</v>
      </c>
    </row>
    <row r="4" spans="1:10" s="14" customFormat="1" ht="39.6" customHeight="1" x14ac:dyDescent="0.25">
      <c r="A4" s="14" t="str">
        <f>'Complete List_09252026'!D129</f>
        <v>HERE Local 2</v>
      </c>
      <c r="B4" s="14" t="str">
        <f>'Complete List_09252026'!C129</f>
        <v>Ian Lewis</v>
      </c>
      <c r="C4" s="14" t="str">
        <f>'Complete List_09252026'!E129</f>
        <v>209 Golden Gate Avenue</v>
      </c>
      <c r="D4" s="14" t="str">
        <f>'Complete List_09252026'!F129</f>
        <v>San Francisco</v>
      </c>
      <c r="E4" s="14" t="str">
        <f>'Complete List_09252026'!G129</f>
        <v>CA</v>
      </c>
      <c r="F4" s="14" t="str">
        <f>'Complete List_09252026'!H129</f>
        <v>94102</v>
      </c>
      <c r="G4" s="14">
        <f>'Complete List_09252026'!J129</f>
        <v>0</v>
      </c>
      <c r="H4" s="14" t="str">
        <f>'Complete List_09252026'!K129</f>
        <v>Physical</v>
      </c>
      <c r="I4" s="14" t="str">
        <f>'Complete List_09252026'!L129</f>
        <v>Chinatown, Downtown/Civic Center, Marina, Mission, Nob Hill, North Beach, Pacific Heights, Presidio, South of Market</v>
      </c>
    </row>
    <row r="5" spans="1:10" s="14" customFormat="1" ht="39.6" customHeight="1" x14ac:dyDescent="0.25">
      <c r="A5" s="14" t="str">
        <f>'Complete List_09252026'!D131</f>
        <v>Hotel Zeppelin</v>
      </c>
      <c r="B5" s="14" t="str">
        <f>'Complete List_09252026'!C131</f>
        <v>Antonio Flores</v>
      </c>
      <c r="C5" s="14" t="str">
        <f>'Complete List_09252026'!E131</f>
        <v>545 Post Street</v>
      </c>
      <c r="D5" s="14" t="str">
        <f>'Complete List_09252026'!F131</f>
        <v>San Francisco</v>
      </c>
      <c r="E5" s="14" t="str">
        <f>'Complete List_09252026'!G131</f>
        <v>CA</v>
      </c>
      <c r="F5" s="14">
        <f>'Complete List_09252026'!H131</f>
        <v>94102</v>
      </c>
      <c r="G5" s="14" t="str">
        <f>'Complete List_09252026'!J131</f>
        <v>antonio.flores@viceroyhotelgroup.com</v>
      </c>
      <c r="H5" s="14" t="str">
        <f>'Complete List_09252026'!K131</f>
        <v>Physical</v>
      </c>
      <c r="I5" s="14" t="str">
        <f>'Complete List_09252026'!L131</f>
        <v>Castro/Upper Market, Chinatown, Downtown/Civic Center, Financial District, Nob Hill, North Beach, South of Market, Treasure Island</v>
      </c>
    </row>
    <row r="6" spans="1:10" s="14" customFormat="1" x14ac:dyDescent="0.25">
      <c r="A6" s="14" t="str">
        <f>'Complete List_09252026'!D175</f>
        <v>Middle Polk Neighborhood Association</v>
      </c>
      <c r="B6" s="14" t="str">
        <f>'Complete List_09252026'!C175</f>
        <v>Adam Mayer</v>
      </c>
      <c r="C6" s="14" t="str">
        <f>'Complete List_09252026'!E175</f>
        <v>PO Box 640918</v>
      </c>
      <c r="D6" s="14" t="str">
        <f>'Complete List_09252026'!F175</f>
        <v>San Francisco</v>
      </c>
      <c r="E6" s="14" t="str">
        <f>'Complete List_09252026'!G175</f>
        <v>CA</v>
      </c>
      <c r="F6" s="14">
        <f>'Complete List_09252026'!H175</f>
        <v>94164</v>
      </c>
      <c r="G6" s="14" t="str">
        <f>'Complete List_09252026'!J175</f>
        <v>moe@middlepolk.org</v>
      </c>
      <c r="H6" s="14" t="str">
        <f>'Complete List_09252026'!K175</f>
        <v>Physical</v>
      </c>
      <c r="I6" s="14" t="str">
        <f>'Complete List_09252026'!L175</f>
        <v>Downtown/Civic Center, Nob Hill, Russian Hill</v>
      </c>
    </row>
    <row r="7" spans="1:10" s="14" customFormat="1" ht="26.45" customHeight="1" x14ac:dyDescent="0.25">
      <c r="A7" s="14" t="str">
        <f>'Complete List_09252026'!D212</f>
        <v>Oak Grove Group</v>
      </c>
      <c r="B7" s="14" t="str">
        <f>'Complete List_09252026'!C212</f>
        <v>Billy Lee</v>
      </c>
      <c r="C7" s="14" t="str">
        <f>'Complete List_09252026'!E212</f>
        <v>2505 Oak Street</v>
      </c>
      <c r="D7" s="14" t="str">
        <f>'Complete List_09252026'!F212</f>
        <v>Napa</v>
      </c>
      <c r="E7" s="14" t="str">
        <f>'Complete List_09252026'!G212</f>
        <v>CA</v>
      </c>
      <c r="F7" s="14">
        <f>'Complete List_09252026'!H212</f>
        <v>94559</v>
      </c>
      <c r="G7" s="14" t="str">
        <f>'Complete List_09252026'!J212</f>
        <v>leeway_e@yahoo.com</v>
      </c>
      <c r="H7" s="14" t="str">
        <f>'Complete List_09252026'!K212</f>
        <v>Physical</v>
      </c>
      <c r="I7" s="14" t="str">
        <f>'Complete List_09252026'!L212</f>
        <v>Pacific Heights, Russian Hill, Marina, Nob Hill, Presidio, Presidio Heights, Sea Cliff, Noe Valley, Western Addition</v>
      </c>
    </row>
    <row r="8" spans="1:10" s="14" customFormat="1" ht="26.45" customHeight="1" x14ac:dyDescent="0.25">
      <c r="A8" s="14" t="str">
        <f>'Complete List_09252026'!D225</f>
        <v>Pacific Avenue Neighborhood Association (PANA)</v>
      </c>
      <c r="B8" s="14" t="str">
        <f>'Complete List_09252026'!C225</f>
        <v>Robyn Tucker</v>
      </c>
      <c r="C8" s="14" t="str">
        <f>'Complete List_09252026'!E225</f>
        <v>7 McCormick</v>
      </c>
      <c r="D8" s="14" t="str">
        <f>'Complete List_09252026'!F225</f>
        <v>San Francisco</v>
      </c>
      <c r="E8" s="14" t="str">
        <f>'Complete List_09252026'!G225</f>
        <v>CA</v>
      </c>
      <c r="F8" s="14" t="str">
        <f>'Complete List_09252026'!H225</f>
        <v>94109</v>
      </c>
      <c r="G8" s="14" t="str">
        <f>'Complete List_09252026'!J225</f>
        <v>venturesv@aol.com</v>
      </c>
      <c r="H8" s="14" t="str">
        <f>'Complete List_09252026'!K225</f>
        <v>Physical</v>
      </c>
      <c r="I8" s="14" t="str">
        <f>'Complete List_09252026'!L225</f>
        <v>Nob Hill, Russian Hill</v>
      </c>
    </row>
    <row r="9" spans="1:10" s="14" customFormat="1" ht="26.45" customHeight="1" x14ac:dyDescent="0.25">
      <c r="A9" s="14" t="str">
        <f>'Complete List_09252026'!D283</f>
        <v>St. Vincent de Paul Society, North Beach</v>
      </c>
      <c r="B9" s="14" t="str">
        <f>'Complete List_09252026'!C283</f>
        <v>Marc Bruno</v>
      </c>
      <c r="C9" s="14" t="str">
        <f>'Complete List_09252026'!E283</f>
        <v>666 Filbert Street</v>
      </c>
      <c r="D9" s="14" t="str">
        <f>'Complete List_09252026'!F283</f>
        <v>San Francisco</v>
      </c>
      <c r="E9" s="14" t="str">
        <f>'Complete List_09252026'!G283</f>
        <v>CA</v>
      </c>
      <c r="F9" s="14">
        <f>'Complete List_09252026'!H283</f>
        <v>94133</v>
      </c>
      <c r="G9" s="14" t="str">
        <f>'Complete List_09252026'!J283</f>
        <v>marcabruno@yahoo.com</v>
      </c>
      <c r="H9" s="14" t="str">
        <f>'Complete List_09252026'!K283</f>
        <v>Physical</v>
      </c>
      <c r="I9" s="14" t="str">
        <f>'Complete List_09252026'!L283</f>
        <v>Chinatown, Financial District, Nob Hill, North Beach, Russian Hill</v>
      </c>
    </row>
    <row r="10" spans="1:10" s="14" customFormat="1" ht="26.45" customHeight="1" x14ac:dyDescent="0.25">
      <c r="A10" s="14" t="str">
        <f>'Complete List_09252026'!D14</f>
        <v>Alliance for a Better District 6</v>
      </c>
      <c r="B10" s="14" t="str">
        <f>'Complete List_09252026'!C14</f>
        <v>Michael Nulty</v>
      </c>
      <c r="C10" s="14" t="str">
        <f>'Complete List_09252026'!E14</f>
        <v>P.O. Box 420782</v>
      </c>
      <c r="D10" s="14" t="str">
        <f>'Complete List_09252026'!F14</f>
        <v>San Francisco</v>
      </c>
      <c r="E10" s="14" t="str">
        <f>'Complete List_09252026'!G14</f>
        <v>CA</v>
      </c>
      <c r="F10" s="14">
        <f>'Complete List_09252026'!H14</f>
        <v>94142</v>
      </c>
      <c r="G10" s="14" t="str">
        <f>'Complete List_09252026'!J14</f>
        <v>sf_district6@yahoo.com</v>
      </c>
      <c r="H10" s="14" t="str">
        <f>'Complete List_09252026'!K14</f>
        <v>Physical</v>
      </c>
      <c r="I10" s="14" t="str">
        <f>'Complete List_09252026'!L14</f>
        <v>Downtown/Civic Center, Financial District, Mission, Nob Hill, South of Market, Treasure Island, Western Addition</v>
      </c>
    </row>
    <row r="11" spans="1:10" s="14" customFormat="1" x14ac:dyDescent="0.25">
      <c r="A11" s="14" t="str">
        <f>'Complete List_09252026'!D264</f>
        <v>SOMA Leadership Council</v>
      </c>
      <c r="B11" s="14" t="str">
        <f>'Complete List_09252026'!C264</f>
        <v>Jaime Whitaker</v>
      </c>
      <c r="C11" s="14" t="str">
        <f>'Complete List_09252026'!E264</f>
        <v>201 Harrison Street Apt. 229</v>
      </c>
      <c r="D11" s="14" t="str">
        <f>'Complete List_09252026'!F264</f>
        <v>San Francisco</v>
      </c>
      <c r="E11" s="14" t="str">
        <f>'Complete List_09252026'!G264</f>
        <v>CA</v>
      </c>
      <c r="F11" s="14">
        <f>'Complete List_09252026'!H264</f>
        <v>94105</v>
      </c>
      <c r="G11" s="14" t="str">
        <f>'Complete List_09252026'!J264</f>
        <v>rinconhill@gmail.com</v>
      </c>
      <c r="H11" s="14" t="str">
        <f>'Complete List_09252026'!K264</f>
        <v>Physical</v>
      </c>
      <c r="I11" s="14" t="str">
        <f>'Complete List_09252026'!L264</f>
        <v>Mission, South of Market</v>
      </c>
    </row>
    <row r="12" spans="1:10" s="14" customFormat="1" ht="17.45" customHeight="1" x14ac:dyDescent="0.25">
      <c r="A12" s="68" t="s">
        <v>1836</v>
      </c>
      <c r="B12" s="72"/>
      <c r="C12" s="72"/>
      <c r="D12" s="72"/>
      <c r="E12" s="72"/>
      <c r="F12" s="72"/>
      <c r="G12" s="72"/>
      <c r="H12" s="72"/>
      <c r="I12" s="72"/>
    </row>
    <row r="13" spans="1:10" ht="66" customHeight="1" x14ac:dyDescent="0.25">
      <c r="A13" s="14" t="str">
        <f>'Complete List_09252026'!D36</f>
        <v>Board of Supervisors</v>
      </c>
      <c r="B13" s="14" t="str">
        <f>'Complete List_09252026'!C36</f>
        <v>Danny Sauter</v>
      </c>
      <c r="C13" s="14" t="str">
        <f>'Complete List_09252026'!E36</f>
        <v>1 Dr. Carlton B Goodlett Place, Room #244</v>
      </c>
      <c r="D13" s="14" t="str">
        <f>'Complete List_09252026'!F36</f>
        <v>San Francisco</v>
      </c>
      <c r="E13" s="14" t="str">
        <f>'Complete List_09252026'!G36</f>
        <v>CA</v>
      </c>
      <c r="F13" s="14" t="str">
        <f>'Complete List_09252026'!H36</f>
        <v>94102-4689</v>
      </c>
      <c r="G13" s="14" t="str">
        <f>'Complete List_09252026'!J36</f>
        <v>SauterStaff@sfgov.org;
Michelle.Andrews@sfgov.org; Amy.Lee5@sfgov.org; tita.bell@sfgov.org; tomio.nagano@sfgov.org</v>
      </c>
      <c r="H13" s="14" t="str">
        <f>'Complete List_09252026'!K36</f>
        <v>Both</v>
      </c>
      <c r="I13" s="14" t="str">
        <f>'Complete List_09252026'!L36</f>
        <v>Chinatown, Financial District, Nob Hill, North Beach, Russian Hill</v>
      </c>
      <c r="J13" s="11"/>
    </row>
    <row r="14" spans="1:10" s="26" customFormat="1" ht="18" customHeight="1" x14ac:dyDescent="0.25">
      <c r="A14" s="70" t="s">
        <v>1842</v>
      </c>
      <c r="B14" s="69"/>
      <c r="C14" s="69"/>
      <c r="D14" s="69"/>
      <c r="E14" s="69"/>
      <c r="F14" s="69"/>
      <c r="G14" s="69"/>
      <c r="H14" s="69"/>
      <c r="I14" s="69"/>
      <c r="J14" s="29"/>
    </row>
    <row r="15" spans="1:10" s="14" customFormat="1" x14ac:dyDescent="0.25">
      <c r="A15" s="14" t="str">
        <f>'Complete List_09252026'!D164</f>
        <v>Lower Polk Neighbors</v>
      </c>
      <c r="B15" s="14" t="str">
        <f>'Complete List_09252026'!C164</f>
        <v>Andrew Dunbar</v>
      </c>
      <c r="C15" s="14" t="str">
        <f>'Complete List_09252026'!E164</f>
        <v>1450 Sutter Street #525</v>
      </c>
      <c r="D15" s="14" t="str">
        <f>'Complete List_09252026'!F164</f>
        <v>San Francisco</v>
      </c>
      <c r="E15" s="14" t="str">
        <f>'Complete List_09252026'!G164</f>
        <v>CA</v>
      </c>
      <c r="F15" s="14">
        <f>'Complete List_09252026'!H164</f>
        <v>94109</v>
      </c>
      <c r="G15" s="14" t="str">
        <f>'Complete List_09252026'!J164</f>
        <v>lowerpolkneighbors@gmail.com</v>
      </c>
      <c r="H15" s="14" t="str">
        <f>'Complete List_09252026'!K164</f>
        <v>Electronic</v>
      </c>
      <c r="I15" s="14" t="str">
        <f>'Complete List_09252026'!L164</f>
        <v>Downtown/Civic Center, Nob Hill</v>
      </c>
    </row>
    <row r="16" spans="1:10" s="14" customFormat="1" ht="26.45" customHeight="1" x14ac:dyDescent="0.25">
      <c r="A16" s="14" t="str">
        <f>'Complete List_09252026'!D82</f>
        <v>Discover Polk Community Benefit District</v>
      </c>
      <c r="B16" s="14" t="str">
        <f>'Complete List_09252026'!C82</f>
        <v>Duncan Ley</v>
      </c>
      <c r="C16" s="14" t="str">
        <f>'Complete List_09252026'!E82</f>
        <v>P.O. Box 642097</v>
      </c>
      <c r="D16" s="14" t="str">
        <f>'Complete List_09252026'!F82</f>
        <v>San Francisco</v>
      </c>
      <c r="E16" s="14" t="str">
        <f>'Complete List_09252026'!G82</f>
        <v>CA</v>
      </c>
      <c r="F16" s="14">
        <f>'Complete List_09252026'!H82</f>
        <v>94164</v>
      </c>
      <c r="G16" s="14" t="str">
        <f>'Complete List_09252026'!J82</f>
        <v>duncan@discoverpolk.org
ben@discoverpolk.org</v>
      </c>
      <c r="H16" s="14" t="str">
        <f>'Complete List_09252026'!K82</f>
        <v>Electronic</v>
      </c>
      <c r="I16" s="14" t="str">
        <f>'Complete List_09252026'!L82</f>
        <v>Nob Hill, Russian Hill</v>
      </c>
    </row>
    <row r="17" spans="1:10" s="14" customFormat="1" ht="42.75" customHeight="1" x14ac:dyDescent="0.25">
      <c r="A17" s="14" t="str">
        <f>'Complete List_09252026'!D163</f>
        <v>Lower Polk / Larkin Business Collaborative</v>
      </c>
      <c r="B17" s="14" t="str">
        <f>'Complete List_09252026'!C163</f>
        <v>David Villa-Lobos</v>
      </c>
      <c r="C17" s="14" t="str">
        <f>'Complete List_09252026'!E163</f>
        <v>P.O. Box 642201</v>
      </c>
      <c r="D17" s="14" t="str">
        <f>'Complete List_09252026'!F163</f>
        <v>San Francisco</v>
      </c>
      <c r="E17" s="14" t="str">
        <f>'Complete List_09252026'!G163</f>
        <v>CA</v>
      </c>
      <c r="F17" s="14">
        <f>'Complete List_09252026'!H163</f>
        <v>94164</v>
      </c>
      <c r="G17" s="14" t="str">
        <f>'Complete List_09252026'!J163</f>
        <v>david_villalobos@sbcglobal.net</v>
      </c>
      <c r="H17" s="14" t="str">
        <f>'Complete List_09252026'!K163</f>
        <v>Electronic</v>
      </c>
      <c r="I17" s="14" t="str">
        <f>'Complete List_09252026'!L163</f>
        <v>Nob Hill, Russian Hill</v>
      </c>
    </row>
    <row r="18" spans="1:10" s="14" customFormat="1" ht="26.45" customHeight="1" x14ac:dyDescent="0.25">
      <c r="A18" s="14" t="str">
        <f>'Complete List_09252026'!D205</f>
        <v>North Beach Neighbors</v>
      </c>
      <c r="B18" s="14" t="str">
        <f>'Complete List_09252026'!C205</f>
        <v>Danny Sauter</v>
      </c>
      <c r="C18" s="14" t="str">
        <f>'Complete List_09252026'!E205</f>
        <v>P.O. Box 330115</v>
      </c>
      <c r="D18" s="14" t="str">
        <f>'Complete List_09252026'!F205</f>
        <v>San Francisco</v>
      </c>
      <c r="E18" s="14" t="str">
        <f>'Complete List_09252026'!G205</f>
        <v>CA</v>
      </c>
      <c r="F18" s="14" t="str">
        <f>'Complete List_09252026'!H205</f>
        <v>94133</v>
      </c>
      <c r="G18" s="14" t="str">
        <f>'Complete List_09252026'!J205</f>
        <v>northbeachneighbors@ymail.com</v>
      </c>
      <c r="H18" s="14" t="str">
        <f>'Complete List_09252026'!K205</f>
        <v>Electronic</v>
      </c>
      <c r="I18" s="14" t="str">
        <f>'Complete List_09252026'!L205</f>
        <v>Chinatown, Financial District, Nob Hill, North Beach, Russian Hill</v>
      </c>
    </row>
    <row r="19" spans="1:10" s="14" customFormat="1" ht="39" customHeight="1" x14ac:dyDescent="0.25">
      <c r="A19" s="14" t="str">
        <f>'Complete List_09252026'!D238</f>
        <v>Russian Hill Community Association</v>
      </c>
      <c r="B19" s="14" t="str">
        <f>'Complete List_09252026'!C238</f>
        <v>Kathleen Courtney</v>
      </c>
      <c r="C19" s="14" t="str">
        <f>'Complete List_09252026'!E238</f>
        <v>1158 Green Street</v>
      </c>
      <c r="D19" s="14" t="str">
        <f>'Complete List_09252026'!F238</f>
        <v>San Francisco</v>
      </c>
      <c r="E19" s="14" t="str">
        <f>'Complete List_09252026'!G238</f>
        <v>CA</v>
      </c>
      <c r="F19" s="14" t="str">
        <f>'Complete List_09252026'!H238</f>
        <v>94109</v>
      </c>
      <c r="G19" s="14" t="str">
        <f>'Complete List_09252026'!J238</f>
        <v>kcourtney@rhcasf.com</v>
      </c>
      <c r="H19" s="14" t="str">
        <f>'Complete List_09252026'!K238</f>
        <v>Electronic</v>
      </c>
      <c r="I19" s="14" t="str">
        <f>'Complete List_09252026'!L238</f>
        <v>Nob Hill, Russian Hill</v>
      </c>
    </row>
    <row r="20" spans="1:10" s="14" customFormat="1" ht="66" customHeight="1" x14ac:dyDescent="0.25">
      <c r="A20" s="11" t="str">
        <f>'Complete List_09252026'!D59</f>
        <v>Chinatown Community Development Center (CCDC)</v>
      </c>
      <c r="B20" s="11" t="str">
        <f>'Complete List_09252026'!C59</f>
        <v>Malcom Yeung</v>
      </c>
      <c r="C20" s="11" t="str">
        <f>'Complete List_09252026'!E59</f>
        <v>615 Grant Avenue</v>
      </c>
      <c r="D20" s="11" t="str">
        <f>'Complete List_09252026'!F59</f>
        <v>San Francisco</v>
      </c>
      <c r="E20" s="11" t="str">
        <f>'Complete List_09252026'!G59</f>
        <v>CA</v>
      </c>
      <c r="F20" s="11" t="str">
        <f>'Complete List_09252026'!H59</f>
        <v>94133</v>
      </c>
      <c r="G20" s="11" t="str">
        <f>'Complete List_09252026'!J59</f>
        <v>myeung@chinatowncdc.org; matthias.mormino@chinatowncdc.org; sharon.ng@chinatowncdc.org; tandchow@gmail.com;</v>
      </c>
      <c r="H20" s="11" t="str">
        <f>'Complete List_09252026'!K59</f>
        <v>Electronic</v>
      </c>
      <c r="I20" s="11" t="str">
        <f>'Complete List_09252026'!L59</f>
        <v>Chinatown, Financial District, Nob Hill, North Beach, Russian Hill</v>
      </c>
    </row>
    <row r="21" spans="1:10" ht="39.6" customHeight="1" x14ac:dyDescent="0.25">
      <c r="A21" s="11" t="str">
        <f>'Complete List_09252026'!D210</f>
        <v>Northern Neighbors</v>
      </c>
      <c r="B21" s="11" t="str">
        <f>'Complete List_09252026'!C210</f>
        <v>Michael Chen</v>
      </c>
      <c r="C21" s="11" t="str">
        <f>'Complete List_09252026'!E210</f>
        <v>2655 Bush St. Apt. 303</v>
      </c>
      <c r="D21" s="11" t="str">
        <f>'Complete List_09252026'!F210</f>
        <v>San Francisco</v>
      </c>
      <c r="E21" s="11" t="str">
        <f>'Complete List_09252026'!G210</f>
        <v>CA</v>
      </c>
      <c r="F21" s="11">
        <f>'Complete List_09252026'!H210</f>
        <v>94115</v>
      </c>
      <c r="G21" s="11" t="str">
        <f>'Complete List_09252026'!J210</f>
        <v>hello@northernneighbors.org</v>
      </c>
      <c r="H21" s="11" t="str">
        <f>'Complete List_09252026'!K210</f>
        <v>Electronic</v>
      </c>
      <c r="I21" s="14" t="str">
        <f>'Complete List_09252026'!L210</f>
        <v>Chinatown, Financial District, Nob Hill, North Beach, Pacific Heights, Presidio, Presidio Heights, Russian Hill, Seacliff</v>
      </c>
    </row>
    <row r="22" spans="1:10" x14ac:dyDescent="0.25">
      <c r="A22" s="5" t="str">
        <f>'Complete List_09252026'!D165</f>
        <v>Lower Nob Hill Neighborhood Alliance</v>
      </c>
      <c r="B22" s="5" t="str">
        <f>'Complete List_09252026'!C165</f>
        <v>Thao Jones-Hill</v>
      </c>
      <c r="C22" s="5" t="str">
        <f>'Complete List_09252026'!E165</f>
        <v>834 Jones Street, Unit B</v>
      </c>
      <c r="D22" s="5" t="str">
        <f>'Complete List_09252026'!F165</f>
        <v>San Francisco</v>
      </c>
      <c r="E22" s="5" t="str">
        <f>'Complete List_09252026'!G165</f>
        <v>CA</v>
      </c>
      <c r="F22" s="5">
        <f>'Complete List_09252026'!H165</f>
        <v>94109</v>
      </c>
      <c r="G22" s="5" t="str">
        <f>'Complete List_09252026'!J165</f>
        <v>ec@lowernobhill.org</v>
      </c>
      <c r="H22" s="5" t="str">
        <f>'Complete List_09252026'!K165</f>
        <v>Electronic</v>
      </c>
      <c r="I22" s="5" t="str">
        <f>'Complete List_09252026'!L165</f>
        <v>Downtown/Civic Center, Nob Hill</v>
      </c>
    </row>
    <row r="23" spans="1:10" ht="39.6" customHeight="1" x14ac:dyDescent="0.25">
      <c r="A23" s="5" t="str">
        <f>'Complete List_09252026'!D177</f>
        <v>Mid-Market Neighbors</v>
      </c>
      <c r="B23" s="5" t="str">
        <f>'Complete List_09252026'!C177</f>
        <v>Chuck Obermeyer</v>
      </c>
      <c r="C23" s="5" t="str">
        <f>'Complete List_09252026'!E177</f>
        <v>30 7th Street</v>
      </c>
      <c r="D23" s="5" t="str">
        <f>'Complete List_09252026'!F177</f>
        <v>San Francisco</v>
      </c>
      <c r="E23" s="5" t="str">
        <f>'Complete List_09252026'!G177</f>
        <v>CA</v>
      </c>
      <c r="F23" s="5">
        <f>'Complete List_09252026'!H177</f>
        <v>94103</v>
      </c>
      <c r="G23" s="5" t="str">
        <f>'Complete List_09252026'!J177</f>
        <v>chuck@midmarketneighbors.org</v>
      </c>
      <c r="H23" s="5" t="str">
        <f>'Complete List_09252026'!K177</f>
        <v>Electronic</v>
      </c>
      <c r="I23" s="5" t="str">
        <f>'Complete List_09252026'!L177</f>
        <v>Castro/Upper Market, Chinatown, Downtown/Civic Center, Financial District, Nob Hill, Potrero Hill, South of Market, Western Addition</v>
      </c>
    </row>
    <row r="24" spans="1:10" ht="56.25" customHeight="1" x14ac:dyDescent="0.25">
      <c r="A24" s="5" t="str">
        <f>'Complete List_09252026'!D154</f>
        <v>Liberation Alliance for Economic and Social Change</v>
      </c>
      <c r="B24" s="5" t="str">
        <f>'Complete List_09252026'!C154</f>
        <v>Keith Pavlik</v>
      </c>
      <c r="C24" s="5" t="str">
        <f>'Complete List_09252026'!E154</f>
        <v>2969 Mission Street</v>
      </c>
      <c r="D24" s="5" t="str">
        <f>'Complete List_09252026'!F154</f>
        <v>San Francisco</v>
      </c>
      <c r="E24" s="5" t="str">
        <f>'Complete List_09252026'!G154</f>
        <v>CA</v>
      </c>
      <c r="F24" s="5">
        <f>'Complete List_09252026'!H154</f>
        <v>94110</v>
      </c>
      <c r="G24" s="5" t="str">
        <f>'Complete List_09252026'!J154</f>
        <v>info@liberationalliance.org</v>
      </c>
      <c r="H24" s="5" t="str">
        <f>'Complete List_09252026'!K154</f>
        <v>Electronic</v>
      </c>
      <c r="I24" s="5" t="str">
        <f>'Complete List_09252026'!L154</f>
        <v>Bayview, Bernal Heights, Castro/Upper Market, Chinatown, Downtown/Civic Center, Excelsior, Mission, Nob Hill, Noe Valley, Outer Mission, Potrero Hill, South of Market, Western Addition</v>
      </c>
    </row>
    <row r="25" spans="1:10" ht="26.45" customHeight="1" x14ac:dyDescent="0.25">
      <c r="A25" s="14" t="str">
        <f>'Complete List_09252026'!D302</f>
        <v>Upper Chinatown Neighborhood Association</v>
      </c>
      <c r="B25" s="14" t="str">
        <f>'Complete List_09252026'!C302</f>
        <v>Jennifer Mei</v>
      </c>
      <c r="C25" s="14" t="str">
        <f>'Complete List_09252026'!E302</f>
        <v>1144 Pacific Avenue</v>
      </c>
      <c r="D25" s="14" t="str">
        <f>'Complete List_09252026'!F302</f>
        <v>San Francisco</v>
      </c>
      <c r="E25" s="14" t="str">
        <f>'Complete List_09252026'!G302</f>
        <v>CA</v>
      </c>
      <c r="F25" s="14">
        <f>'Complete List_09252026'!H302</f>
        <v>94133</v>
      </c>
      <c r="G25" s="14" t="str">
        <f>'Complete List_09252026'!J302</f>
        <v xml:space="preserve">upperchinatownassociation@gmail.com </v>
      </c>
      <c r="H25" s="14" t="str">
        <f>'Complete List_09252026'!K302</f>
        <v>Electronic</v>
      </c>
      <c r="I25" s="14" t="str">
        <f>'Complete List_09252026'!L302</f>
        <v>Chinatown, Nob Hill, Russian Hill</v>
      </c>
      <c r="J25" s="11"/>
    </row>
  </sheetData>
  <autoFilter ref="A1:I1" xr:uid="{00000000-0009-0000-0000-000013000000}">
    <sortState xmlns:xlrd2="http://schemas.microsoft.com/office/spreadsheetml/2017/richdata2" ref="A2:I18">
      <sortCondition descending="1" ref="H1"/>
    </sortState>
  </autoFilter>
  <mergeCells count="3">
    <mergeCell ref="A14:I14"/>
    <mergeCell ref="A12:I12"/>
    <mergeCell ref="A2:I2"/>
  </mergeCells>
  <pageMargins left="0.7" right="0.7" top="0.75" bottom="0.75" header="0.3" footer="0.3"/>
  <pageSetup scale="52"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J22"/>
  <sheetViews>
    <sheetView zoomScale="75" zoomScaleNormal="75" zoomScalePageLayoutView="75" workbookViewId="0">
      <selection activeCell="A9" sqref="A9:XFD9"/>
    </sheetView>
  </sheetViews>
  <sheetFormatPr defaultColWidth="8.85546875" defaultRowHeight="12.75" x14ac:dyDescent="0.25"/>
  <cols>
    <col min="1" max="1" width="36.140625" style="5" customWidth="1"/>
    <col min="2" max="2" width="21" style="5" customWidth="1"/>
    <col min="3" max="3" width="28.7109375" style="5" customWidth="1"/>
    <col min="4" max="4" width="14.140625" style="5" customWidth="1"/>
    <col min="5" max="5" width="8.85546875" style="5" customWidth="1"/>
    <col min="6" max="6" width="8.85546875" style="8" customWidth="1"/>
    <col min="7" max="8" width="30.140625" style="5" customWidth="1"/>
    <col min="9" max="9" width="49" style="5" customWidth="1"/>
    <col min="10" max="10" width="8.85546875" style="5" customWidth="1"/>
    <col min="11" max="16384" width="8.85546875" style="5"/>
  </cols>
  <sheetData>
    <row r="1" spans="1:10" s="4" customFormat="1" ht="18" customHeight="1" x14ac:dyDescent="0.25">
      <c r="A1" s="4" t="s">
        <v>3</v>
      </c>
      <c r="B1" s="4" t="str">
        <f>'Complete List_09252026'!C1</f>
        <v>NAME</v>
      </c>
      <c r="C1" s="4" t="str">
        <f>'Complete List_09252026'!E1</f>
        <v>ADDRESS</v>
      </c>
      <c r="D1" s="4" t="str">
        <f>'Complete List_09252026'!F1</f>
        <v>CITY</v>
      </c>
      <c r="E1" s="4" t="str">
        <f>'Complete List_09252026'!G1</f>
        <v>STATE</v>
      </c>
      <c r="F1" s="10" t="str">
        <f>'Complete List_09252026'!H1</f>
        <v>ZIP</v>
      </c>
      <c r="G1" s="4" t="str">
        <f>'Complete List_09252026'!J1</f>
        <v>EMAIL</v>
      </c>
      <c r="H1" s="4" t="s">
        <v>10</v>
      </c>
      <c r="I1" s="4" t="str">
        <f>'Complete List_09252026'!L1</f>
        <v>NEIGHBORHOOD OF INTEREST</v>
      </c>
    </row>
    <row r="2" spans="1:10" s="26" customFormat="1" ht="18" customHeight="1" x14ac:dyDescent="0.25">
      <c r="A2" s="71" t="s">
        <v>1835</v>
      </c>
      <c r="B2" s="69"/>
      <c r="C2" s="69"/>
      <c r="D2" s="69"/>
      <c r="E2" s="69"/>
      <c r="F2" s="69"/>
      <c r="G2" s="69"/>
      <c r="H2" s="69"/>
      <c r="I2" s="69"/>
      <c r="J2" s="28"/>
    </row>
    <row r="3" spans="1:10" s="14" customFormat="1" x14ac:dyDescent="0.25">
      <c r="A3" s="14" t="str">
        <f>'Complete List_09252026'!D69</f>
        <v>Coleridge St. Neighbors</v>
      </c>
      <c r="B3" s="14" t="str">
        <f>'Complete List_09252026'!C69</f>
        <v>Buddy Choy</v>
      </c>
      <c r="C3" s="14" t="str">
        <f>'Complete List_09252026'!E69</f>
        <v>157 Coleridge Street</v>
      </c>
      <c r="D3" s="14" t="str">
        <f>'Complete List_09252026'!F69</f>
        <v>San Francisco</v>
      </c>
      <c r="E3" s="14" t="str">
        <f>'Complete List_09252026'!G69</f>
        <v>CA</v>
      </c>
      <c r="F3" s="14" t="str">
        <f>'Complete List_09252026'!H69</f>
        <v>94110</v>
      </c>
      <c r="G3" s="14" t="str">
        <f>'Complete List_09252026'!J69</f>
        <v>choytate@gmail.com</v>
      </c>
      <c r="H3" s="14" t="str">
        <f>'Complete List_09252026'!K69</f>
        <v>Physical</v>
      </c>
      <c r="I3" s="14" t="str">
        <f>'Complete List_09252026'!L69</f>
        <v>Bernal Heights, Mission, Noe Valley</v>
      </c>
    </row>
    <row r="4" spans="1:10" s="14" customFormat="1" ht="26.45" customHeight="1" x14ac:dyDescent="0.25">
      <c r="A4" s="14" t="str">
        <f>'Complete List_09252026'!D81</f>
        <v>Diamond Street Neighborhood Association (DSNA)</v>
      </c>
      <c r="B4" s="14" t="str">
        <f>'Complete List_09252026'!C81</f>
        <v>Judd Winick</v>
      </c>
      <c r="C4" s="14" t="str">
        <f>'Complete List_09252026'!E81</f>
        <v>1615 Diamond Street</v>
      </c>
      <c r="D4" s="14" t="str">
        <f>'Complete List_09252026'!F81</f>
        <v>San Francisco</v>
      </c>
      <c r="E4" s="14" t="str">
        <f>'Complete List_09252026'!G81</f>
        <v>CA</v>
      </c>
      <c r="F4" s="14">
        <f>'Complete List_09252026'!H81</f>
        <v>94131</v>
      </c>
      <c r="G4" s="14" t="str">
        <f>'Complete List_09252026'!J81</f>
        <v>chakabutt@yahoo.com</v>
      </c>
      <c r="H4" s="14" t="str">
        <f>'Complete List_09252026'!K81</f>
        <v>Physical</v>
      </c>
      <c r="I4" s="14" t="str">
        <f>'Complete List_09252026'!L81</f>
        <v>Noe Valley</v>
      </c>
    </row>
    <row r="5" spans="1:10" s="14" customFormat="1" ht="26.45" customHeight="1" x14ac:dyDescent="0.25">
      <c r="A5" s="14" t="str">
        <f>'Complete List_09252026'!D212</f>
        <v>Oak Grove Group</v>
      </c>
      <c r="B5" s="14" t="str">
        <f>'Complete List_09252026'!C212</f>
        <v>Billy Lee</v>
      </c>
      <c r="C5" s="14" t="str">
        <f>'Complete List_09252026'!E212</f>
        <v>2505 Oak Street</v>
      </c>
      <c r="D5" s="14" t="str">
        <f>'Complete List_09252026'!F212</f>
        <v>Napa</v>
      </c>
      <c r="E5" s="14" t="str">
        <f>'Complete List_09252026'!G212</f>
        <v>CA</v>
      </c>
      <c r="F5" s="14">
        <f>'Complete List_09252026'!H212</f>
        <v>94559</v>
      </c>
      <c r="G5" s="14" t="str">
        <f>'Complete List_09252026'!J212</f>
        <v>leeway_e@yahoo.com</v>
      </c>
      <c r="H5" s="14" t="str">
        <f>'Complete List_09252026'!K212</f>
        <v>Physical</v>
      </c>
      <c r="I5" s="14" t="str">
        <f>'Complete List_09252026'!L212</f>
        <v>Pacific Heights, Russian Hill, Marina, Nob Hill, Presidio, Presidio Heights, Sea Cliff, Noe Valley, Western Addition</v>
      </c>
    </row>
    <row r="6" spans="1:10" s="14" customFormat="1" ht="66" customHeight="1" x14ac:dyDescent="0.25">
      <c r="A6" s="14" t="str">
        <f>'Complete List_09252026'!D261</f>
        <v>Sherwin Williams</v>
      </c>
      <c r="B6" s="14" t="str">
        <f>'Complete List_09252026'!C261</f>
        <v>Francesca Panullo</v>
      </c>
      <c r="C6" s="14" t="str">
        <f>'Complete List_09252026'!E261</f>
        <v>1415 Ocean Ave</v>
      </c>
      <c r="D6" s="14" t="str">
        <f>'Complete List_09252026'!F261</f>
        <v>San Francisco</v>
      </c>
      <c r="E6" s="14" t="str">
        <f>'Complete List_09252026'!G261</f>
        <v>CA</v>
      </c>
      <c r="F6" s="14">
        <f>'Complete List_09252026'!H261</f>
        <v>94112</v>
      </c>
      <c r="G6" s="14" t="str">
        <f>'Complete List_09252026'!J261</f>
        <v>sw8644@sherwin.com</v>
      </c>
      <c r="H6" s="14" t="str">
        <f>'Complete List_09252026'!K261</f>
        <v>Physical</v>
      </c>
      <c r="I6" s="14" t="str">
        <f>'Complete List_09252026'!L261</f>
        <v>Bayview, Bernal Heights, Crocker Amazon, Diamond Heights, Excelsior, Glen Park, Inner Sunset, Lakeshore, Noe Valley, Ocean View, Outer Mission, Outer Sunset, Parkside, Potrero Hill, South Bayshore, Twin Peaks, Visitacion Valley, West of Twin Peaks</v>
      </c>
    </row>
    <row r="7" spans="1:10" s="14" customFormat="1" x14ac:dyDescent="0.25">
      <c r="A7" s="14" t="str">
        <f>'Complete List_09252026'!D6</f>
        <v>-</v>
      </c>
      <c r="B7" s="14" t="str">
        <f>'Complete List_09252026'!C6</f>
        <v>Georgia Schuttish</v>
      </c>
      <c r="C7" s="14" t="str">
        <f>'Complete List_09252026'!E6</f>
        <v>460 Duncan Street</v>
      </c>
      <c r="D7" s="14" t="str">
        <f>'Complete List_09252026'!F6</f>
        <v>San Francisco</v>
      </c>
      <c r="E7" s="14" t="str">
        <f>'Complete List_09252026'!G6</f>
        <v>CA</v>
      </c>
      <c r="F7" s="14">
        <f>'Complete List_09252026'!H6</f>
        <v>94131</v>
      </c>
      <c r="G7" s="14" t="str">
        <f>'Complete List_09252026'!J6</f>
        <v>schuttishtr@sbcglobal.net</v>
      </c>
      <c r="H7" s="14" t="str">
        <f>'Complete List_09252026'!K6</f>
        <v>Physical</v>
      </c>
      <c r="I7" s="14" t="str">
        <f>'Complete List_09252026'!L6</f>
        <v>Noe Valley</v>
      </c>
    </row>
    <row r="8" spans="1:10" s="14" customFormat="1" x14ac:dyDescent="0.25">
      <c r="A8" s="14" t="str">
        <f>'Complete List_09252026'!D148</f>
        <v>Lady Bird on 27th Street</v>
      </c>
      <c r="B8" s="14" t="str">
        <f>'Complete List_09252026'!C148</f>
        <v>Brian Welch</v>
      </c>
      <c r="C8" s="14" t="str">
        <f>'Complete List_09252026'!E148</f>
        <v>533 27th Street</v>
      </c>
      <c r="D8" s="14" t="str">
        <f>'Complete List_09252026'!F148</f>
        <v>San Francisco</v>
      </c>
      <c r="E8" s="14" t="str">
        <f>'Complete List_09252026'!G148</f>
        <v>CA</v>
      </c>
      <c r="F8" s="14">
        <f>'Complete List_09252026'!H148</f>
        <v>94131</v>
      </c>
      <c r="G8" s="14" t="str">
        <f>'Complete List_09252026'!J148</f>
        <v>bwelch711@gmail.com</v>
      </c>
      <c r="H8" s="14" t="str">
        <f>'Complete List_09252026'!K148</f>
        <v>Physical</v>
      </c>
      <c r="I8" s="14" t="str">
        <f>'Complete List_09252026'!L148</f>
        <v>Noe Valley</v>
      </c>
    </row>
    <row r="9" spans="1:10" s="14" customFormat="1" ht="17.45" customHeight="1" x14ac:dyDescent="0.25">
      <c r="A9" s="68" t="s">
        <v>1836</v>
      </c>
      <c r="B9" s="72"/>
      <c r="C9" s="72"/>
      <c r="D9" s="72"/>
      <c r="E9" s="72"/>
      <c r="F9" s="72"/>
      <c r="G9" s="72"/>
      <c r="H9" s="72"/>
      <c r="I9" s="72"/>
    </row>
    <row r="10" spans="1:10" s="14" customFormat="1" ht="66" customHeight="1" x14ac:dyDescent="0.25">
      <c r="A10" s="14" t="str">
        <f>'Complete List_09252026'!D38</f>
        <v>Board of Supervisors</v>
      </c>
      <c r="B10" s="14" t="str">
        <f>'Complete List_09252026'!C38</f>
        <v>Rafael Mandelman</v>
      </c>
      <c r="C10" s="14" t="str">
        <f>'Complete List_09252026'!E38</f>
        <v>1 Dr. Carlton B Goodlett Place, Room #244</v>
      </c>
      <c r="D10" s="14" t="str">
        <f>'Complete List_09252026'!F38</f>
        <v>San Francisco</v>
      </c>
      <c r="E10" s="14" t="str">
        <f>'Complete List_09252026'!G38</f>
        <v>CA</v>
      </c>
      <c r="F10" s="14" t="str">
        <f>'Complete List_09252026'!H38</f>
        <v>94102-4689</v>
      </c>
      <c r="G10" s="14" t="str">
        <f>'Complete List_09252026'!J38</f>
        <v>Rafael.Mandelman@sfgov.org;
Kyle.Smeallie@sfgov.org;
Tom.Temprano@sfgov.org;
jacob.bintliff@sfgov.org; 
mandelmanstaff@sfgov.org</v>
      </c>
      <c r="H10" s="14" t="str">
        <f>'Complete List_09252026'!K38</f>
        <v>Both</v>
      </c>
      <c r="I10" s="14" t="str">
        <f>'Complete List_09252026'!L38</f>
        <v>Castro/Upper Market, Diamond Heights, Glen Park, Noe Valley, Twin Peaks</v>
      </c>
    </row>
    <row r="11" spans="1:10" s="26" customFormat="1" ht="18" customHeight="1" x14ac:dyDescent="0.25">
      <c r="A11" s="70" t="s">
        <v>1842</v>
      </c>
      <c r="B11" s="69"/>
      <c r="C11" s="69"/>
      <c r="D11" s="69"/>
      <c r="E11" s="69"/>
      <c r="F11" s="69"/>
      <c r="G11" s="69"/>
      <c r="H11" s="69"/>
      <c r="I11" s="69"/>
      <c r="J11" s="29"/>
    </row>
    <row r="12" spans="1:10" s="14" customFormat="1" ht="26.45" customHeight="1" x14ac:dyDescent="0.25">
      <c r="A12" s="14" t="str">
        <f>'Complete List_09252026'!D55</f>
        <v>Castro Upper Market Community Benefit District</v>
      </c>
      <c r="B12" s="14" t="str">
        <f>'Complete List_09252026'!C55</f>
        <v>Andrea Aiello</v>
      </c>
      <c r="C12" s="14" t="str">
        <f>'Complete List_09252026'!E55</f>
        <v>693 14th Street</v>
      </c>
      <c r="D12" s="14" t="str">
        <f>'Complete List_09252026'!F55</f>
        <v>San Francisco</v>
      </c>
      <c r="E12" s="14" t="str">
        <f>'Complete List_09252026'!G55</f>
        <v>CA</v>
      </c>
      <c r="F12" s="14" t="str">
        <f>'Complete List_09252026'!H55</f>
        <v>94114</v>
      </c>
      <c r="G12" s="14" t="str">
        <f>'Complete List_09252026'!J55</f>
        <v>ExecDirector@CastroCBD.org</v>
      </c>
      <c r="H12" s="14" t="str">
        <f>'Complete List_09252026'!K55</f>
        <v>Electronic</v>
      </c>
      <c r="I12" s="14" t="str">
        <f>'Complete List_09252026'!L55</f>
        <v>Castro/Upper Market, Haight Ashbury, Noe Valley</v>
      </c>
    </row>
    <row r="13" spans="1:10" s="14" customFormat="1" ht="25.5" x14ac:dyDescent="0.25">
      <c r="A13" s="14" t="str">
        <f>'Complete List_09252026'!D79</f>
        <v>Diamond Heights Community Association</v>
      </c>
      <c r="B13" s="14" t="str">
        <f>'Complete List_09252026'!C79</f>
        <v>Daniel Schereck</v>
      </c>
      <c r="C13" s="14" t="str">
        <f>'Complete List_09252026'!E79</f>
        <v>P.O. Box 31529</v>
      </c>
      <c r="D13" s="14" t="str">
        <f>'Complete List_09252026'!F79</f>
        <v>San Francisco</v>
      </c>
      <c r="E13" s="14" t="str">
        <f>'Complete List_09252026'!G79</f>
        <v>CA</v>
      </c>
      <c r="F13" s="14">
        <f>'Complete List_09252026'!H79</f>
        <v>94131</v>
      </c>
      <c r="G13" s="14" t="str">
        <f>'Complete List_09252026'!J79</f>
        <v>dhcasf@gmail.com</v>
      </c>
      <c r="H13" s="14" t="str">
        <f>'Complete List_09252026'!K79</f>
        <v>Electronic</v>
      </c>
      <c r="I13" s="14" t="str">
        <f>'Complete List_09252026'!L79</f>
        <v>Diamond Heights, Glen Park, Noe Valley</v>
      </c>
    </row>
    <row r="14" spans="1:10" s="14" customFormat="1" ht="26.45" customHeight="1" x14ac:dyDescent="0.25">
      <c r="A14" s="14" t="str">
        <f>'Complete List_09252026'!D86</f>
        <v>Dolores Heights Improvement Club-DRC</v>
      </c>
      <c r="B14" s="14" t="str">
        <f>'Complete List_09252026'!C86</f>
        <v xml:space="preserve">Planning and Land Use Committee </v>
      </c>
      <c r="C14" s="14" t="str">
        <f>'Complete List_09252026'!E86</f>
        <v>4016 20th Street</v>
      </c>
      <c r="D14" s="14" t="str">
        <f>'Complete List_09252026'!F86</f>
        <v>San Francisco</v>
      </c>
      <c r="E14" s="14" t="str">
        <f>'Complete List_09252026'!G86</f>
        <v>CA</v>
      </c>
      <c r="F14" s="14" t="str">
        <f>'Complete List_09252026'!H86</f>
        <v>94114</v>
      </c>
      <c r="G14" s="14" t="str">
        <f>'Complete List_09252026'!J86</f>
        <v>plu@doloresheights.org</v>
      </c>
      <c r="H14" s="14" t="str">
        <f>'Complete List_09252026'!K86</f>
        <v>Electronic</v>
      </c>
      <c r="I14" s="14" t="str">
        <f>'Complete List_09252026'!L86</f>
        <v>Castro/Upper Market, Mission, Noe Valley</v>
      </c>
    </row>
    <row r="15" spans="1:10" s="14" customFormat="1" ht="26.45" customHeight="1" x14ac:dyDescent="0.25">
      <c r="A15" s="14" t="str">
        <f>'Complete List_09252026'!D147</f>
        <v>Kronquist Court/27th Street Neighborhood Association</v>
      </c>
      <c r="B15" s="14" t="str">
        <f>'Complete List_09252026'!C147</f>
        <v>April Asai</v>
      </c>
      <c r="C15" s="14" t="str">
        <f>'Complete List_09252026'!E147</f>
        <v>29 Kronquist Court</v>
      </c>
      <c r="D15" s="14" t="str">
        <f>'Complete List_09252026'!F147</f>
        <v>San Francisco</v>
      </c>
      <c r="E15" s="14" t="str">
        <f>'Complete List_09252026'!G147</f>
        <v>CA</v>
      </c>
      <c r="F15" s="14">
        <f>'Complete List_09252026'!H147</f>
        <v>94131</v>
      </c>
      <c r="G15" s="14" t="str">
        <f>'Complete List_09252026'!J147</f>
        <v>kronquist@asai-sf.com</v>
      </c>
      <c r="H15" s="14" t="str">
        <f>'Complete List_09252026'!K147</f>
        <v>Electronic</v>
      </c>
      <c r="I15" s="14" t="str">
        <f>'Complete List_09252026'!L147</f>
        <v>Noe Valley</v>
      </c>
    </row>
    <row r="16" spans="1:10" s="14" customFormat="1" ht="26.45" customHeight="1" x14ac:dyDescent="0.25">
      <c r="A16" s="14" t="str">
        <f>'Complete List_09252026'!D201</f>
        <v>Noe Neighborhood Council</v>
      </c>
      <c r="B16" s="14" t="str">
        <f>'Complete List_09252026'!C201</f>
        <v xml:space="preserve">Ozzie Rohm </v>
      </c>
      <c r="C16" s="14" t="str">
        <f>'Complete List_09252026'!E201</f>
        <v>1101 Diamond Street</v>
      </c>
      <c r="D16" s="14" t="str">
        <f>'Complete List_09252026'!F201</f>
        <v>San Francisco</v>
      </c>
      <c r="E16" s="14" t="str">
        <f>'Complete List_09252026'!G201</f>
        <v>CA</v>
      </c>
      <c r="F16" s="14">
        <f>'Complete List_09252026'!H201</f>
        <v>94114</v>
      </c>
      <c r="G16" s="14" t="str">
        <f>'Complete List_09252026'!J201</f>
        <v>info@noeneighborhoodcouncil.com</v>
      </c>
      <c r="H16" s="14" t="str">
        <f>'Complete List_09252026'!K201</f>
        <v>Electronic</v>
      </c>
      <c r="I16" s="14" t="str">
        <f>'Complete List_09252026'!L201</f>
        <v>Noe Valley</v>
      </c>
    </row>
    <row r="17" spans="1:9" s="14" customFormat="1" ht="26.45" customHeight="1" x14ac:dyDescent="0.25">
      <c r="A17" s="14" t="str">
        <f>'Complete List_09252026'!D236</f>
        <v>Respect Noe Valley Neighbors</v>
      </c>
      <c r="B17" s="14" t="str">
        <f>'Complete List_09252026'!C236</f>
        <v>Jonathan Axelrad</v>
      </c>
      <c r="C17" s="14" t="str">
        <f>'Complete List_09252026'!E236</f>
        <v>1 Jade Place</v>
      </c>
      <c r="D17" s="14" t="str">
        <f>'Complete List_09252026'!F236</f>
        <v>San Francisco</v>
      </c>
      <c r="E17" s="14" t="str">
        <f>'Complete List_09252026'!G236</f>
        <v>CA</v>
      </c>
      <c r="F17" s="14">
        <f>'Complete List_09252026'!H236</f>
        <v>94131</v>
      </c>
      <c r="G17" s="14" t="str">
        <f>'Complete List_09252026'!J236</f>
        <v>respectnoevalleyneighbors@gmail.com</v>
      </c>
      <c r="H17" s="14" t="str">
        <f>'Complete List_09252026'!K236</f>
        <v>Electronic</v>
      </c>
      <c r="I17" s="14" t="str">
        <f>'Complete List_09252026'!L236</f>
        <v>Noe Valley</v>
      </c>
    </row>
    <row r="18" spans="1:9" s="14" customFormat="1" ht="58.5" customHeight="1" x14ac:dyDescent="0.2">
      <c r="A18" s="24" t="str">
        <f>'Complete List_09252026'!D255</f>
        <v>San Francisco Land Use Coalition (SFLUC)</v>
      </c>
      <c r="B18" s="24" t="str">
        <f>'Complete List_09252026'!C255</f>
        <v>Gary Weiss</v>
      </c>
      <c r="C18" s="24" t="str">
        <f>'Complete List_09252026'!E255</f>
        <v>78 Mars Street</v>
      </c>
      <c r="D18" s="24" t="str">
        <f>'Complete List_09252026'!F255</f>
        <v>San Francisco</v>
      </c>
      <c r="E18" s="24" t="str">
        <f>'Complete List_09252026'!G255</f>
        <v>CA</v>
      </c>
      <c r="F18" s="24">
        <f>'Complete List_09252026'!H255</f>
        <v>94114</v>
      </c>
      <c r="G18" s="24" t="str">
        <f>'Complete List_09252026'!J255</f>
        <v>garysfx@gmail.com</v>
      </c>
      <c r="H18" s="24" t="str">
        <f>'Complete List_09252026'!K255</f>
        <v>Electronic</v>
      </c>
      <c r="I18" s="24" t="str">
        <f>'Complete List_09252026'!L255</f>
        <v>Castro/Upper Market, Diamond Heights, Glen Park, Haight Ashbury, Mission, Noe Valley, South of Market, Twin Peaks, Upper Market, Western Addition</v>
      </c>
    </row>
    <row r="19" spans="1:9" s="14" customFormat="1" x14ac:dyDescent="0.25">
      <c r="A19" s="14" t="str">
        <f>'Complete List_09252026'!D303</f>
        <v>Upper Noe Neighbors</v>
      </c>
      <c r="B19" s="14" t="str">
        <f>'Complete List_09252026'!C303</f>
        <v>Andy Levine</v>
      </c>
      <c r="C19" s="14" t="str">
        <f>'Complete List_09252026'!E303</f>
        <v>447 29th Street</v>
      </c>
      <c r="D19" s="14" t="str">
        <f>'Complete List_09252026'!F303</f>
        <v>San Francisco</v>
      </c>
      <c r="E19" s="14" t="str">
        <f>'Complete List_09252026'!G303</f>
        <v>CA</v>
      </c>
      <c r="F19" s="14">
        <f>'Complete List_09252026'!H303</f>
        <v>94131</v>
      </c>
      <c r="G19" s="14" t="str">
        <f>'Complete List_09252026'!J303</f>
        <v>andy@levinearch.com</v>
      </c>
      <c r="H19" s="14" t="str">
        <f>'Complete List_09252026'!K303</f>
        <v>Electronic</v>
      </c>
      <c r="I19" s="14" t="str">
        <f>'Complete List_09252026'!L303</f>
        <v>Noe Valley</v>
      </c>
    </row>
    <row r="20" spans="1:9" ht="26.45" customHeight="1" x14ac:dyDescent="0.25">
      <c r="A20" s="5" t="str">
        <f>'Complete List_09252026'!D53</f>
        <v>Castro LGBTQ Cultural District</v>
      </c>
      <c r="B20" s="5" t="str">
        <f>'Complete List_09252026'!C53</f>
        <v>Jesse Sanford &amp; Stephen Torres</v>
      </c>
      <c r="C20" s="5" t="str">
        <f>'Complete List_09252026'!E53</f>
        <v>1800 Market Street</v>
      </c>
      <c r="D20" s="5" t="str">
        <f>'Complete List_09252026'!F53</f>
        <v>San Francisco</v>
      </c>
      <c r="E20" s="5" t="str">
        <f>'Complete List_09252026'!G53</f>
        <v>CA</v>
      </c>
      <c r="F20" s="8">
        <f>'Complete List_09252026'!H53</f>
        <v>94102</v>
      </c>
      <c r="G20" s="5" t="str">
        <f>'Complete List_09252026'!J53</f>
        <v>landuse@castrolgbtq.org</v>
      </c>
      <c r="H20" s="5" t="str">
        <f>'Complete List_09252026'!K53</f>
        <v>Electronic</v>
      </c>
      <c r="I20" s="5" t="str">
        <f>'Complete List_09252026'!L53</f>
        <v>Bernal Heights, Castro/Upper Market, Downtown/Civic Center, Mission, Noe Valley, South of Market</v>
      </c>
    </row>
    <row r="21" spans="1:9" ht="52.9" customHeight="1" x14ac:dyDescent="0.25">
      <c r="A21" s="5" t="str">
        <f>'Complete List_09252026'!D154</f>
        <v>Liberation Alliance for Economic and Social Change</v>
      </c>
      <c r="B21" s="5" t="str">
        <f>'Complete List_09252026'!C154</f>
        <v>Keith Pavlik</v>
      </c>
      <c r="C21" s="5" t="str">
        <f>'Complete List_09252026'!E154</f>
        <v>2969 Mission Street</v>
      </c>
      <c r="D21" s="5" t="str">
        <f>'Complete List_09252026'!F154</f>
        <v>San Francisco</v>
      </c>
      <c r="E21" s="5" t="str">
        <f>'Complete List_09252026'!G154</f>
        <v>CA</v>
      </c>
      <c r="F21" s="5">
        <f>'Complete List_09252026'!H154</f>
        <v>94110</v>
      </c>
      <c r="G21" s="5" t="str">
        <f>'Complete List_09252026'!J154</f>
        <v>info@liberationalliance.org</v>
      </c>
      <c r="H21" s="5" t="str">
        <f>'Complete List_09252026'!K154</f>
        <v>Electronic</v>
      </c>
      <c r="I21" s="5" t="str">
        <f>'Complete List_09252026'!L154</f>
        <v>Bayview, Bernal Heights, Castro/Upper Market, Chinatown, Downtown/Civic Center, Excelsior, Mission, Nob Hill, Noe Valley, Outer Mission, Potrero Hill, South of Market, Western Addition</v>
      </c>
    </row>
    <row r="22" spans="1:9" s="14" customFormat="1" x14ac:dyDescent="0.25">
      <c r="A22" s="14" t="str">
        <f>'Complete List_09252026'!D73</f>
        <v>Corbett Heights Neighbors</v>
      </c>
      <c r="B22" s="14" t="str">
        <f>'Complete List_09252026'!C73</f>
        <v xml:space="preserve">Maryann Dresner </v>
      </c>
      <c r="C22" s="14" t="str">
        <f>'Complete List_09252026'!E73</f>
        <v>P.O. Box 14493</v>
      </c>
      <c r="D22" s="14" t="str">
        <f>'Complete List_09252026'!F73</f>
        <v>San Francisco</v>
      </c>
      <c r="E22" s="14" t="str">
        <f>'Complete List_09252026'!G73</f>
        <v>CA</v>
      </c>
      <c r="F22" s="14" t="str">
        <f>'Complete List_09252026'!H73</f>
        <v>94114</v>
      </c>
      <c r="G22" s="14" t="str">
        <f>'Complete List_09252026'!J73</f>
        <v>info@corbettneighbors.com</v>
      </c>
      <c r="H22" s="14" t="str">
        <f>'Complete List_09252026'!K73</f>
        <v>Electronic</v>
      </c>
      <c r="I22" s="14" t="str">
        <f>'Complete List_09252026'!L73</f>
        <v>Castro/Upper Market, Noe Valley, West of Twin Peaks</v>
      </c>
    </row>
  </sheetData>
  <autoFilter ref="A1:I1" xr:uid="{00000000-0009-0000-0000-000014000000}">
    <sortState xmlns:xlrd2="http://schemas.microsoft.com/office/spreadsheetml/2017/richdata2" ref="A2:I19">
      <sortCondition descending="1" ref="H1"/>
    </sortState>
  </autoFilter>
  <mergeCells count="3">
    <mergeCell ref="A9:I9"/>
    <mergeCell ref="A2:I2"/>
    <mergeCell ref="A11:I11"/>
  </mergeCells>
  <pageMargins left="0.7" right="0.7" top="0.75" bottom="0.75" header="0.3" footer="0.3"/>
  <pageSetup scale="52"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J26"/>
  <sheetViews>
    <sheetView zoomScale="75" zoomScaleNormal="75" zoomScalePageLayoutView="75" workbookViewId="0">
      <selection activeCell="A13" sqref="A13:XFD13"/>
    </sheetView>
  </sheetViews>
  <sheetFormatPr defaultColWidth="8.85546875" defaultRowHeight="12.75" x14ac:dyDescent="0.25"/>
  <cols>
    <col min="1" max="1" width="36.140625" style="5" customWidth="1"/>
    <col min="2" max="2" width="21" style="5" customWidth="1"/>
    <col min="3" max="3" width="28.7109375" style="5" customWidth="1"/>
    <col min="4" max="4" width="14.140625" style="5" customWidth="1"/>
    <col min="5" max="5" width="8.85546875" style="5" customWidth="1"/>
    <col min="6" max="6" width="8.85546875" style="8" customWidth="1"/>
    <col min="7" max="8" width="30.140625" style="5" customWidth="1"/>
    <col min="9" max="9" width="49" style="5" customWidth="1"/>
    <col min="10" max="10" width="8.85546875" style="5" customWidth="1"/>
    <col min="11" max="16384" width="8.85546875" style="5"/>
  </cols>
  <sheetData>
    <row r="1" spans="1:10" s="4" customFormat="1" ht="18" customHeight="1" x14ac:dyDescent="0.25">
      <c r="A1" s="4" t="s">
        <v>3</v>
      </c>
      <c r="B1" s="4" t="str">
        <f>'Complete List_09252026'!C1</f>
        <v>NAME</v>
      </c>
      <c r="C1" s="4" t="str">
        <f>'Complete List_09252026'!E1</f>
        <v>ADDRESS</v>
      </c>
      <c r="D1" s="4" t="str">
        <f>'Complete List_09252026'!F1</f>
        <v>CITY</v>
      </c>
      <c r="E1" s="4" t="str">
        <f>'Complete List_09252026'!G1</f>
        <v>STATE</v>
      </c>
      <c r="F1" s="10" t="str">
        <f>'Complete List_09252026'!H1</f>
        <v>ZIP</v>
      </c>
      <c r="G1" s="4" t="str">
        <f>'Complete List_09252026'!J1</f>
        <v>EMAIL</v>
      </c>
      <c r="H1" s="4" t="s">
        <v>10</v>
      </c>
      <c r="I1" s="4" t="str">
        <f>'Complete List_09252026'!L1</f>
        <v>NEIGHBORHOOD OF INTEREST</v>
      </c>
    </row>
    <row r="2" spans="1:10" s="26" customFormat="1" ht="18" customHeight="1" x14ac:dyDescent="0.25">
      <c r="A2" s="71" t="s">
        <v>1835</v>
      </c>
      <c r="B2" s="69"/>
      <c r="C2" s="69"/>
      <c r="D2" s="69"/>
      <c r="E2" s="69"/>
      <c r="F2" s="69"/>
      <c r="G2" s="69"/>
      <c r="H2" s="69"/>
      <c r="I2" s="69"/>
      <c r="J2" s="28"/>
    </row>
    <row r="3" spans="1:10" s="14" customFormat="1" ht="26.45" customHeight="1" x14ac:dyDescent="0.25">
      <c r="A3" s="14" t="str">
        <f>'Complete List_09252026'!D10</f>
        <v>District 3 Tenants</v>
      </c>
      <c r="B3" s="14" t="str">
        <f>'Complete List_09252026'!C10</f>
        <v>Jeffrey Kwong</v>
      </c>
      <c r="C3" s="14" t="str">
        <f>'Complete List_09252026'!E10</f>
        <v>1754 Hyde Street</v>
      </c>
      <c r="D3" s="14" t="str">
        <f>'Complete List_09252026'!F10</f>
        <v>San Francisco</v>
      </c>
      <c r="E3" s="14" t="str">
        <f>'Complete List_09252026'!G10</f>
        <v>CA</v>
      </c>
      <c r="F3" s="14">
        <f>'Complete List_09252026'!H10</f>
        <v>94106</v>
      </c>
      <c r="G3" s="14" t="str">
        <f>'Complete List_09252026'!J10</f>
        <v>cardinalsf@gmail.com</v>
      </c>
      <c r="H3" s="14" t="str">
        <f>'Complete List_09252026'!K10</f>
        <v>Physical</v>
      </c>
      <c r="I3" s="14" t="str">
        <f>'Complete List_09252026'!L10</f>
        <v>Chinatown, Downtown Civic Center, Financial District, Nob Hill, North Beach</v>
      </c>
    </row>
    <row r="4" spans="1:10" s="14" customFormat="1" x14ac:dyDescent="0.25">
      <c r="A4" s="14" t="str">
        <f>'Complete List_09252026'!D106</f>
        <v>Friends of Appleton-Wolfard Libraries</v>
      </c>
      <c r="B4" s="14" t="str">
        <f>'Complete List_09252026'!C106</f>
        <v>Howard Wong</v>
      </c>
      <c r="C4" s="14" t="str">
        <f>'Complete List_09252026'!E106</f>
        <v>126 Varennes</v>
      </c>
      <c r="D4" s="14" t="str">
        <f>'Complete List_09252026'!F106</f>
        <v>San Francisco</v>
      </c>
      <c r="E4" s="14" t="str">
        <f>'Complete List_09252026'!G106</f>
        <v>CA</v>
      </c>
      <c r="F4" s="14" t="str">
        <f>'Complete List_09252026'!H106</f>
        <v>94133</v>
      </c>
      <c r="G4" s="14" t="str">
        <f>'Complete List_09252026'!J106</f>
        <v>WongAIA@aol.com</v>
      </c>
      <c r="H4" s="14" t="str">
        <f>'Complete List_09252026'!K106</f>
        <v>Physical</v>
      </c>
      <c r="I4" s="14" t="str">
        <f>'Complete List_09252026'!L106</f>
        <v>Chinatown, North Beach</v>
      </c>
    </row>
    <row r="5" spans="1:10" s="14" customFormat="1" ht="39.6" customHeight="1" x14ac:dyDescent="0.25">
      <c r="A5" s="14" t="str">
        <f>'Complete List_09252026'!D129</f>
        <v>HERE Local 2</v>
      </c>
      <c r="B5" s="14" t="str">
        <f>'Complete List_09252026'!C129</f>
        <v>Ian Lewis</v>
      </c>
      <c r="C5" s="14" t="str">
        <f>'Complete List_09252026'!E129</f>
        <v>209 Golden Gate Avenue</v>
      </c>
      <c r="D5" s="14" t="str">
        <f>'Complete List_09252026'!F129</f>
        <v>San Francisco</v>
      </c>
      <c r="E5" s="14" t="str">
        <f>'Complete List_09252026'!G129</f>
        <v>CA</v>
      </c>
      <c r="F5" s="14" t="str">
        <f>'Complete List_09252026'!H129</f>
        <v>94102</v>
      </c>
      <c r="G5" s="14">
        <f>'Complete List_09252026'!J129</f>
        <v>0</v>
      </c>
      <c r="H5" s="14" t="str">
        <f>'Complete List_09252026'!K129</f>
        <v>Physical</v>
      </c>
      <c r="I5" s="14" t="str">
        <f>'Complete List_09252026'!L129</f>
        <v>Chinatown, Downtown/Civic Center, Marina, Mission, Nob Hill, North Beach, Pacific Heights, Presidio, South of Market</v>
      </c>
    </row>
    <row r="6" spans="1:10" s="14" customFormat="1" ht="39.6" customHeight="1" x14ac:dyDescent="0.25">
      <c r="A6" s="14" t="str">
        <f>'Complete List_09252026'!D131</f>
        <v>Hotel Zeppelin</v>
      </c>
      <c r="B6" s="14" t="str">
        <f>'Complete List_09252026'!C131</f>
        <v>Antonio Flores</v>
      </c>
      <c r="C6" s="14" t="str">
        <f>'Complete List_09252026'!E131</f>
        <v>545 Post Street</v>
      </c>
      <c r="D6" s="14" t="str">
        <f>'Complete List_09252026'!F131</f>
        <v>San Francisco</v>
      </c>
      <c r="E6" s="14" t="str">
        <f>'Complete List_09252026'!G131</f>
        <v>CA</v>
      </c>
      <c r="F6" s="14">
        <f>'Complete List_09252026'!H131</f>
        <v>94102</v>
      </c>
      <c r="G6" s="14" t="str">
        <f>'Complete List_09252026'!J131</f>
        <v>antonio.flores@viceroyhotelgroup.com</v>
      </c>
      <c r="H6" s="14" t="str">
        <f>'Complete List_09252026'!K131</f>
        <v>Physical</v>
      </c>
      <c r="I6" s="14" t="str">
        <f>'Complete List_09252026'!L131</f>
        <v>Castro/Upper Market, Chinatown, Downtown/Civic Center, Financial District, Nob Hill, North Beach, South of Market, Treasure Island</v>
      </c>
    </row>
    <row r="7" spans="1:10" s="14" customFormat="1" x14ac:dyDescent="0.25">
      <c r="A7" s="14" t="str">
        <f>'Complete List_09252026'!D139</f>
        <v>Jackson Square Historic District Assn.</v>
      </c>
      <c r="B7" s="14" t="str">
        <f>'Complete List_09252026'!C139</f>
        <v>Sarah Stocking</v>
      </c>
      <c r="C7" s="14" t="str">
        <f>'Complete List_09252026'!E139</f>
        <v>368 Jackson Street</v>
      </c>
      <c r="D7" s="14" t="str">
        <f>'Complete List_09252026'!F139</f>
        <v>San Francisco</v>
      </c>
      <c r="E7" s="14" t="str">
        <f>'Complete List_09252026'!G139</f>
        <v>CA</v>
      </c>
      <c r="F7" s="14">
        <f>'Complete List_09252026'!H139</f>
        <v>94111</v>
      </c>
      <c r="G7" s="14" t="str">
        <f>'Complete List_09252026'!J139</f>
        <v>sarah@sarahstocking.com</v>
      </c>
      <c r="H7" s="14" t="str">
        <f>'Complete List_09252026'!K139</f>
        <v>Physical</v>
      </c>
      <c r="I7" s="14" t="str">
        <f>'Complete List_09252026'!L139</f>
        <v xml:space="preserve">Chinatown, Financial District, North Beach  </v>
      </c>
    </row>
    <row r="8" spans="1:10" s="14" customFormat="1" ht="26.45" customHeight="1" x14ac:dyDescent="0.25">
      <c r="A8" s="14" t="str">
        <f>'Complete List_09252026'!D204</f>
        <v>North Beach Business Assocation</v>
      </c>
      <c r="B8" s="14" t="str">
        <f>'Complete List_09252026'!C204</f>
        <v xml:space="preserve">   </v>
      </c>
      <c r="C8" s="14" t="str">
        <f>'Complete List_09252026'!E204</f>
        <v>P.O. Box 330144</v>
      </c>
      <c r="D8" s="14" t="str">
        <f>'Complete List_09252026'!F204</f>
        <v>San Francisco</v>
      </c>
      <c r="E8" s="14" t="str">
        <f>'Complete List_09252026'!G204</f>
        <v>CA</v>
      </c>
      <c r="F8" s="14">
        <f>'Complete List_09252026'!H204</f>
        <v>94133</v>
      </c>
      <c r="G8" s="14" t="str">
        <f>'Complete List_09252026'!J204</f>
        <v>northbeachbusinessassociation@gmail.com; KathleenDooley@att.net</v>
      </c>
      <c r="H8" s="14" t="str">
        <f>'Complete List_09252026'!K204</f>
        <v>Physical</v>
      </c>
      <c r="I8" s="14" t="str">
        <f>'Complete List_09252026'!L204</f>
        <v>North Beach</v>
      </c>
    </row>
    <row r="9" spans="1:10" s="14" customFormat="1" x14ac:dyDescent="0.25">
      <c r="A9" s="14" t="str">
        <f>'Complete List_09252026'!D206</f>
        <v>North Beach Tenants Committee</v>
      </c>
      <c r="B9" s="14" t="str">
        <f>'Complete List_09252026'!C206</f>
        <v>Theresa Flandrich</v>
      </c>
      <c r="C9" s="14" t="str">
        <f>'Complete List_09252026'!E206</f>
        <v>21 Napier Lane, #2</v>
      </c>
      <c r="D9" s="14" t="str">
        <f>'Complete List_09252026'!F206</f>
        <v>San Francisco</v>
      </c>
      <c r="E9" s="14" t="str">
        <f>'Complete List_09252026'!G206</f>
        <v>CA</v>
      </c>
      <c r="F9" s="14">
        <f>'Complete List_09252026'!H206</f>
        <v>94133</v>
      </c>
      <c r="G9" s="14" t="str">
        <f>'Complete List_09252026'!J206</f>
        <v>coittower2014@gmail.com</v>
      </c>
      <c r="H9" s="14" t="str">
        <f>'Complete List_09252026'!K206</f>
        <v>Physical</v>
      </c>
      <c r="I9" s="14" t="str">
        <f>'Complete List_09252026'!L206</f>
        <v>North Beach</v>
      </c>
    </row>
    <row r="10" spans="1:10" s="14" customFormat="1" ht="26.45" customHeight="1" x14ac:dyDescent="0.25">
      <c r="A10" s="14" t="str">
        <f>'Complete List_09252026'!D269</f>
        <v>SoTel Neighbors</v>
      </c>
      <c r="B10" s="14" t="str">
        <f>'Complete List_09252026'!C269</f>
        <v>Stephanie Greenburg</v>
      </c>
      <c r="C10" s="14" t="str">
        <f>'Complete List_09252026'!E269</f>
        <v>455 Vallejo Street, #112</v>
      </c>
      <c r="D10" s="14" t="str">
        <f>'Complete List_09252026'!F269</f>
        <v>San Francisco</v>
      </c>
      <c r="E10" s="14" t="str">
        <f>'Complete List_09252026'!G269</f>
        <v>CA</v>
      </c>
      <c r="F10" s="14" t="str">
        <f>'Complete List_09252026'!H269</f>
        <v>94133</v>
      </c>
      <c r="G10" s="14" t="str">
        <f>'Complete List_09252026'!J269</f>
        <v>stephgreenburg@sotelneighbors.org</v>
      </c>
      <c r="H10" s="14" t="str">
        <f>'Complete List_09252026'!K269</f>
        <v>Physical</v>
      </c>
      <c r="I10" s="14" t="str">
        <f>'Complete List_09252026'!L269</f>
        <v>North Beach</v>
      </c>
    </row>
    <row r="11" spans="1:10" s="14" customFormat="1" ht="26.45" customHeight="1" x14ac:dyDescent="0.25">
      <c r="A11" s="14" t="str">
        <f>'Complete List_09252026'!D283</f>
        <v>St. Vincent de Paul Society, North Beach</v>
      </c>
      <c r="B11" s="14" t="str">
        <f>'Complete List_09252026'!C283</f>
        <v>Marc Bruno</v>
      </c>
      <c r="C11" s="14" t="str">
        <f>'Complete List_09252026'!E283</f>
        <v>666 Filbert Street</v>
      </c>
      <c r="D11" s="14" t="str">
        <f>'Complete List_09252026'!F283</f>
        <v>San Francisco</v>
      </c>
      <c r="E11" s="14" t="str">
        <f>'Complete List_09252026'!G283</f>
        <v>CA</v>
      </c>
      <c r="F11" s="14">
        <f>'Complete List_09252026'!H283</f>
        <v>94133</v>
      </c>
      <c r="G11" s="14" t="str">
        <f>'Complete List_09252026'!J283</f>
        <v>marcabruno@yahoo.com</v>
      </c>
      <c r="H11" s="14" t="str">
        <f>'Complete List_09252026'!K283</f>
        <v>Physical</v>
      </c>
      <c r="I11" s="14" t="str">
        <f>'Complete List_09252026'!L283</f>
        <v>Chinatown, Financial District, Nob Hill, North Beach, Russian Hill</v>
      </c>
    </row>
    <row r="12" spans="1:10" s="14" customFormat="1" x14ac:dyDescent="0.25">
      <c r="A12" s="14" t="str">
        <f>'Complete List_09252026'!D287</f>
        <v>Telegraph Hill Survival Association</v>
      </c>
      <c r="B12" s="14" t="str">
        <f>'Complete List_09252026'!C287</f>
        <v>Gene Morzenti</v>
      </c>
      <c r="C12" s="14" t="str">
        <f>'Complete List_09252026'!E287</f>
        <v>350 Green Street, Apt. 3</v>
      </c>
      <c r="D12" s="14" t="str">
        <f>'Complete List_09252026'!F287</f>
        <v>San Francisco</v>
      </c>
      <c r="E12" s="14" t="str">
        <f>'Complete List_09252026'!G287</f>
        <v>CA</v>
      </c>
      <c r="F12" s="14" t="str">
        <f>'Complete List_09252026'!H287</f>
        <v>94133</v>
      </c>
      <c r="G12" s="14" t="str">
        <f>'Complete List_09252026'!J287</f>
        <v>aamorzenti@ucdavis.edu</v>
      </c>
      <c r="H12" s="14" t="str">
        <f>'Complete List_09252026'!K287</f>
        <v>Physical</v>
      </c>
      <c r="I12" s="14" t="str">
        <f>'Complete List_09252026'!L287</f>
        <v>North Beach</v>
      </c>
    </row>
    <row r="13" spans="1:10" s="14" customFormat="1" x14ac:dyDescent="0.25">
      <c r="A13" s="14" t="str">
        <f>'Complete List_09252026'!D286</f>
        <v>Telegraph Hill Neighborhood Center</v>
      </c>
      <c r="B13" s="14" t="str">
        <f>'Complete List_09252026'!C286</f>
        <v>Nestor Fernandez</v>
      </c>
      <c r="C13" s="14" t="str">
        <f>'Complete List_09252026'!E286</f>
        <v>660 Lombard Street</v>
      </c>
      <c r="D13" s="14" t="str">
        <f>'Complete List_09252026'!F286</f>
        <v>San Francisco</v>
      </c>
      <c r="E13" s="14" t="str">
        <f>'Complete List_09252026'!G286</f>
        <v>CA</v>
      </c>
      <c r="F13" s="14" t="str">
        <f>'Complete List_09252026'!H286</f>
        <v>94133</v>
      </c>
      <c r="G13" s="14" t="str">
        <f>'Complete List_09252026'!J286</f>
        <v>nfernandez@tel-hi.org</v>
      </c>
      <c r="H13" s="14" t="str">
        <f>'Complete List_09252026'!K286</f>
        <v>Physical</v>
      </c>
      <c r="I13" s="14" t="str">
        <f>'Complete List_09252026'!L286</f>
        <v>North Beach</v>
      </c>
    </row>
    <row r="14" spans="1:10" s="14" customFormat="1" ht="17.45" customHeight="1" x14ac:dyDescent="0.25">
      <c r="A14" s="68" t="s">
        <v>1836</v>
      </c>
      <c r="B14" s="72"/>
      <c r="C14" s="72"/>
      <c r="D14" s="72"/>
      <c r="E14" s="72"/>
      <c r="F14" s="72"/>
      <c r="G14" s="72"/>
      <c r="H14" s="72"/>
      <c r="I14" s="72"/>
    </row>
    <row r="15" spans="1:10" s="14" customFormat="1" ht="66" customHeight="1" x14ac:dyDescent="0.25">
      <c r="A15" s="14" t="str">
        <f>'Complete List_09252026'!D36</f>
        <v>Board of Supervisors</v>
      </c>
      <c r="B15" s="14" t="str">
        <f>'Complete List_09252026'!C36</f>
        <v>Danny Sauter</v>
      </c>
      <c r="C15" s="14" t="str">
        <f>'Complete List_09252026'!E36</f>
        <v>1 Dr. Carlton B Goodlett Place, Room #244</v>
      </c>
      <c r="D15" s="14" t="str">
        <f>'Complete List_09252026'!F36</f>
        <v>San Francisco</v>
      </c>
      <c r="E15" s="14" t="str">
        <f>'Complete List_09252026'!G36</f>
        <v>CA</v>
      </c>
      <c r="F15" s="14" t="str">
        <f>'Complete List_09252026'!H36</f>
        <v>94102-4689</v>
      </c>
      <c r="G15" s="14" t="str">
        <f>'Complete List_09252026'!J36</f>
        <v>SauterStaff@sfgov.org;
Michelle.Andrews@sfgov.org; Amy.Lee5@sfgov.org; tita.bell@sfgov.org; tomio.nagano@sfgov.org</v>
      </c>
      <c r="H15" s="14" t="str">
        <f>'Complete List_09252026'!K36</f>
        <v>Both</v>
      </c>
      <c r="I15" s="14" t="str">
        <f>'Complete List_09252026'!L36</f>
        <v>Chinatown, Financial District, Nob Hill, North Beach, Russian Hill</v>
      </c>
    </row>
    <row r="16" spans="1:10" s="26" customFormat="1" ht="18" customHeight="1" x14ac:dyDescent="0.25">
      <c r="A16" s="70" t="s">
        <v>1842</v>
      </c>
      <c r="B16" s="69"/>
      <c r="C16" s="69"/>
      <c r="D16" s="69"/>
      <c r="E16" s="69"/>
      <c r="F16" s="69"/>
      <c r="G16" s="69"/>
      <c r="H16" s="69"/>
      <c r="I16" s="69"/>
      <c r="J16" s="29"/>
    </row>
    <row r="17" spans="1:9" s="14" customFormat="1" x14ac:dyDescent="0.25">
      <c r="A17" s="14" t="str">
        <f>'Complete List_09252026'!D23</f>
        <v>Barbary Coast Neighborhood Association</v>
      </c>
      <c r="B17" s="14" t="str">
        <f>'Complete List_09252026'!C23</f>
        <v>Diana Taylor</v>
      </c>
      <c r="C17" s="14" t="str">
        <f>'Complete List_09252026'!E23</f>
        <v>P.O. Box 2045</v>
      </c>
      <c r="D17" s="14" t="str">
        <f>'Complete List_09252026'!F23</f>
        <v>San Francisco</v>
      </c>
      <c r="E17" s="14" t="str">
        <f>'Complete List_09252026'!G23</f>
        <v>CA</v>
      </c>
      <c r="F17" s="14">
        <f>'Complete List_09252026'!H23</f>
        <v>94126</v>
      </c>
      <c r="G17" s="14" t="str">
        <f>'Complete List_09252026'!J23</f>
        <v>bcna@bcnasf.org</v>
      </c>
      <c r="H17" s="14" t="str">
        <f>'Complete List_09252026'!K23</f>
        <v>Electronic</v>
      </c>
      <c r="I17" s="14" t="str">
        <f>'Complete List_09252026'!L23</f>
        <v>Financial District, North Beach</v>
      </c>
    </row>
    <row r="18" spans="1:9" s="14" customFormat="1" ht="66" customHeight="1" x14ac:dyDescent="0.25">
      <c r="A18" s="14" t="str">
        <f>'Complete List_09252026'!D59</f>
        <v>Chinatown Community Development Center (CCDC)</v>
      </c>
      <c r="B18" s="14" t="str">
        <f>'Complete List_09252026'!C59</f>
        <v>Malcom Yeung</v>
      </c>
      <c r="C18" s="14" t="str">
        <f>'Complete List_09252026'!E59</f>
        <v>615 Grant Avenue</v>
      </c>
      <c r="D18" s="14" t="str">
        <f>'Complete List_09252026'!F59</f>
        <v>San Francisco</v>
      </c>
      <c r="E18" s="14" t="str">
        <f>'Complete List_09252026'!G59</f>
        <v>CA</v>
      </c>
      <c r="F18" s="14" t="str">
        <f>'Complete List_09252026'!H59</f>
        <v>94133</v>
      </c>
      <c r="G18" s="14" t="str">
        <f>'Complete List_09252026'!J59</f>
        <v>myeung@chinatowncdc.org; matthias.mormino@chinatowncdc.org; sharon.ng@chinatowncdc.org; tandchow@gmail.com;</v>
      </c>
      <c r="H18" s="14" t="str">
        <f>'Complete List_09252026'!K59</f>
        <v>Electronic</v>
      </c>
      <c r="I18" s="14" t="str">
        <f>'Complete List_09252026'!L59</f>
        <v>Chinatown, Financial District, Nob Hill, North Beach, Russian Hill</v>
      </c>
    </row>
    <row r="19" spans="1:9" s="14" customFormat="1" x14ac:dyDescent="0.25">
      <c r="A19" s="14" t="str">
        <f>'Complete List_09252026'!D115</f>
        <v>Gateway Tenants Association</v>
      </c>
      <c r="B19" s="14" t="str">
        <f>'Complete List_09252026'!C115</f>
        <v>Alec Bash</v>
      </c>
      <c r="C19" s="14" t="str">
        <f>'Complete List_09252026'!E115</f>
        <v>155 Jackson Street Apt. 2501</v>
      </c>
      <c r="D19" s="14" t="str">
        <f>'Complete List_09252026'!F115</f>
        <v>San Francisco</v>
      </c>
      <c r="E19" s="14" t="str">
        <f>'Complete List_09252026'!G115</f>
        <v>CA</v>
      </c>
      <c r="F19" s="14">
        <f>'Complete List_09252026'!H115</f>
        <v>94111</v>
      </c>
      <c r="G19" s="14" t="str">
        <f>'Complete List_09252026'!J115</f>
        <v>alec.bash@gmail.com</v>
      </c>
      <c r="H19" s="14" t="str">
        <f>'Complete List_09252026'!K115</f>
        <v>Electronic</v>
      </c>
      <c r="I19" s="14" t="str">
        <f>'Complete List_09252026'!L115</f>
        <v>Financial District, North Beach</v>
      </c>
    </row>
    <row r="20" spans="1:9" s="14" customFormat="1" ht="26.45" customHeight="1" x14ac:dyDescent="0.25">
      <c r="A20" s="14" t="str">
        <f>'Complete List_09252026'!D205</f>
        <v>North Beach Neighbors</v>
      </c>
      <c r="B20" s="14" t="str">
        <f>'Complete List_09252026'!C205</f>
        <v>Danny Sauter</v>
      </c>
      <c r="C20" s="14" t="str">
        <f>'Complete List_09252026'!E205</f>
        <v>P.O. Box 330115</v>
      </c>
      <c r="D20" s="14" t="str">
        <f>'Complete List_09252026'!F205</f>
        <v>San Francisco</v>
      </c>
      <c r="E20" s="14" t="str">
        <f>'Complete List_09252026'!G205</f>
        <v>CA</v>
      </c>
      <c r="F20" s="14" t="str">
        <f>'Complete List_09252026'!H205</f>
        <v>94133</v>
      </c>
      <c r="G20" s="14" t="str">
        <f>'Complete List_09252026'!J205</f>
        <v>northbeachneighbors@ymail.com</v>
      </c>
      <c r="H20" s="14" t="str">
        <f>'Complete List_09252026'!K205</f>
        <v>Electronic</v>
      </c>
      <c r="I20" s="14" t="str">
        <f>'Complete List_09252026'!L205</f>
        <v>Chinatown, Financial District, Nob Hill, North Beach, Russian Hill</v>
      </c>
    </row>
    <row r="21" spans="1:9" s="14" customFormat="1" x14ac:dyDescent="0.25">
      <c r="A21" s="14" t="str">
        <f>'Complete List_09252026'!D207</f>
        <v>North East Medical Services</v>
      </c>
      <c r="B21" s="14" t="str">
        <f>'Complete List_09252026'!C207</f>
        <v>Wyland Chu</v>
      </c>
      <c r="C21" s="14" t="str">
        <f>'Complete List_09252026'!E207</f>
        <v>1520 Stockton Street</v>
      </c>
      <c r="D21" s="14" t="str">
        <f>'Complete List_09252026'!F207</f>
        <v>San Francisco</v>
      </c>
      <c r="E21" s="14" t="str">
        <f>'Complete List_09252026'!G207</f>
        <v>CA</v>
      </c>
      <c r="F21" s="14" t="str">
        <f>'Complete List_09252026'!H207</f>
        <v>94133</v>
      </c>
      <c r="G21" s="14" t="str">
        <f>'Complete List_09252026'!J207</f>
        <v>wyland.chu@nems.org</v>
      </c>
      <c r="H21" s="14" t="str">
        <f>'Complete List_09252026'!K207</f>
        <v>Electronic</v>
      </c>
      <c r="I21" s="14" t="str">
        <f>'Complete List_09252026'!L207</f>
        <v>North Beach</v>
      </c>
    </row>
    <row r="22" spans="1:9" s="14" customFormat="1" x14ac:dyDescent="0.25">
      <c r="A22" s="14" t="str">
        <f>'Complete List_09252026'!D208</f>
        <v>North East Medical Services</v>
      </c>
      <c r="B22" s="14" t="str">
        <f>'Complete List_09252026'!C208</f>
        <v>Jessica Ho</v>
      </c>
      <c r="C22" s="14" t="str">
        <f>'Complete List_09252026'!E208</f>
        <v>2171 Junipero Serra Blvd</v>
      </c>
      <c r="D22" s="14" t="str">
        <f>'Complete List_09252026'!F208</f>
        <v>Daly City</v>
      </c>
      <c r="E22" s="14" t="str">
        <f>'Complete List_09252026'!G208</f>
        <v>CA</v>
      </c>
      <c r="F22" s="14">
        <f>'Complete List_09252026'!H208</f>
        <v>94014</v>
      </c>
      <c r="G22" s="14" t="str">
        <f>'Complete List_09252026'!J208</f>
        <v>jessica.ho@nems.org</v>
      </c>
      <c r="H22" s="14" t="str">
        <f>'Complete List_09252026'!K208</f>
        <v>Electronic</v>
      </c>
      <c r="I22" s="14" t="str">
        <f>'Complete List_09252026'!L208</f>
        <v>North Beach</v>
      </c>
    </row>
    <row r="23" spans="1:9" s="14" customFormat="1" ht="42.75" customHeight="1" x14ac:dyDescent="0.25">
      <c r="A23" s="14" t="str">
        <f>'Complete List_09252026'!D285</f>
        <v>Telegraph Hill Dwellers - Planning &amp; Zoning Committee</v>
      </c>
      <c r="B23" s="14" t="str">
        <f>'Complete List_09252026'!C285</f>
        <v>Nancy Shanahan</v>
      </c>
      <c r="C23" s="14" t="str">
        <f>'Complete List_09252026'!E285</f>
        <v>470 Columbus Ave. #211</v>
      </c>
      <c r="D23" s="14" t="str">
        <f>'Complete List_09252026'!F285</f>
        <v>San Francisco</v>
      </c>
      <c r="E23" s="14" t="str">
        <f>'Complete List_09252026'!G285</f>
        <v>CA</v>
      </c>
      <c r="F23" s="14">
        <f>'Complete List_09252026'!H285</f>
        <v>94133</v>
      </c>
      <c r="G23" s="14" t="str">
        <f>'Complete List_09252026'!J285</f>
        <v>pz@thd.org</v>
      </c>
      <c r="H23" s="14" t="str">
        <f>'Complete List_09252026'!K285</f>
        <v>Electronic</v>
      </c>
      <c r="I23" s="14" t="str">
        <f>'Complete List_09252026'!L285</f>
        <v>North Beach, Financial District</v>
      </c>
    </row>
    <row r="24" spans="1:9" s="14" customFormat="1" x14ac:dyDescent="0.25">
      <c r="A24" s="14" t="str">
        <f>'Complete List_09252026'!D284</f>
        <v>Telegraph Hill Dwellers</v>
      </c>
      <c r="B24" s="14" t="str">
        <f>'Complete List_09252026'!C284</f>
        <v>Al Fontes</v>
      </c>
      <c r="C24" s="14" t="str">
        <f>'Complete List_09252026'!E284</f>
        <v>P.O. Box 330159</v>
      </c>
      <c r="D24" s="14" t="str">
        <f>'Complete List_09252026'!F284</f>
        <v>San Francisco</v>
      </c>
      <c r="E24" s="14" t="str">
        <f>'Complete List_09252026'!G284</f>
        <v>CA</v>
      </c>
      <c r="F24" s="14" t="str">
        <f>'Complete List_09252026'!H284</f>
        <v>94133</v>
      </c>
      <c r="G24" s="14" t="str">
        <f>'Complete List_09252026'!J284</f>
        <v>president@thd.org</v>
      </c>
      <c r="H24" s="14" t="str">
        <f>'Complete List_09252026'!K284</f>
        <v>Electronic</v>
      </c>
      <c r="I24" s="14" t="str">
        <f>'Complete List_09252026'!L284</f>
        <v>North Beach, Financial District</v>
      </c>
    </row>
    <row r="25" spans="1:9" x14ac:dyDescent="0.25">
      <c r="A25" s="5" t="str">
        <f>'Complete List_09252026'!D203</f>
        <v>Northeast San Francisco Conservancy</v>
      </c>
      <c r="B25" s="5" t="str">
        <f>'Complete List_09252026'!C203</f>
        <v>Nancy Shanahan</v>
      </c>
      <c r="C25" s="5" t="str">
        <f>'Complete List_09252026'!E203</f>
        <v>224 Filbert Street</v>
      </c>
      <c r="D25" s="5" t="str">
        <f>'Complete List_09252026'!F203</f>
        <v>San Francisco</v>
      </c>
      <c r="E25" s="5" t="str">
        <f>'Complete List_09252026'!G203</f>
        <v>CA</v>
      </c>
      <c r="F25" s="5">
        <f>'Complete List_09252026'!H203</f>
        <v>94133</v>
      </c>
      <c r="G25" s="5" t="str">
        <f>'Complete List_09252026'!J203</f>
        <v>nshan@mindspring.com</v>
      </c>
      <c r="H25" s="5" t="str">
        <f>'Complete List_09252026'!K203</f>
        <v>Electronic</v>
      </c>
      <c r="I25" s="5" t="str">
        <f>'Complete List_09252026'!L203</f>
        <v>Chinatown, Financial District, North Beach, Russian Hill</v>
      </c>
    </row>
    <row r="26" spans="1:9" ht="39.6" customHeight="1" x14ac:dyDescent="0.25">
      <c r="A26" s="11" t="str">
        <f>'Complete List_09252026'!D210</f>
        <v>Northern Neighbors</v>
      </c>
      <c r="B26" s="11" t="str">
        <f>'Complete List_09252026'!C210</f>
        <v>Michael Chen</v>
      </c>
      <c r="C26" s="11" t="str">
        <f>'Complete List_09252026'!E210</f>
        <v>2655 Bush St. Apt. 303</v>
      </c>
      <c r="D26" s="11" t="str">
        <f>'Complete List_09252026'!F210</f>
        <v>San Francisco</v>
      </c>
      <c r="E26" s="11" t="str">
        <f>'Complete List_09252026'!G210</f>
        <v>CA</v>
      </c>
      <c r="F26" s="11">
        <f>'Complete List_09252026'!H210</f>
        <v>94115</v>
      </c>
      <c r="G26" s="11" t="str">
        <f>'Complete List_09252026'!J210</f>
        <v>hello@northernneighbors.org</v>
      </c>
      <c r="H26" s="11" t="str">
        <f>'Complete List_09252026'!K210</f>
        <v>Electronic</v>
      </c>
      <c r="I26" s="11" t="str">
        <f>'Complete List_09252026'!L210</f>
        <v>Chinatown, Financial District, Nob Hill, North Beach, Pacific Heights, Presidio, Presidio Heights, Russian Hill, Seacliff</v>
      </c>
    </row>
  </sheetData>
  <autoFilter ref="A1:I1" xr:uid="{00000000-0009-0000-0000-000015000000}">
    <sortState xmlns:xlrd2="http://schemas.microsoft.com/office/spreadsheetml/2017/richdata2" ref="A2:I23">
      <sortCondition descending="1" ref="H1"/>
    </sortState>
  </autoFilter>
  <mergeCells count="3">
    <mergeCell ref="A14:I14"/>
    <mergeCell ref="A16:I16"/>
    <mergeCell ref="A2:I2"/>
  </mergeCells>
  <pageMargins left="0.7" right="0.7" top="0.75" bottom="0.75" header="0.3" footer="0.3"/>
  <pageSetup scale="52"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J16"/>
  <sheetViews>
    <sheetView zoomScale="75" zoomScaleNormal="75" zoomScalePageLayoutView="75" workbookViewId="0">
      <selection activeCell="A4" sqref="A4:XFD4"/>
    </sheetView>
  </sheetViews>
  <sheetFormatPr defaultColWidth="8.85546875" defaultRowHeight="14.25" x14ac:dyDescent="0.25"/>
  <cols>
    <col min="1" max="1" width="38.140625" style="6" customWidth="1"/>
    <col min="2" max="2" width="24.7109375" style="6" customWidth="1"/>
    <col min="3" max="3" width="32.42578125" style="6" customWidth="1"/>
    <col min="4" max="4" width="15.42578125" style="6" customWidth="1"/>
    <col min="5" max="6" width="8.85546875" style="6" customWidth="1"/>
    <col min="7" max="7" width="25.42578125" style="6" customWidth="1"/>
    <col min="8" max="8" width="33.28515625" style="6" customWidth="1"/>
    <col min="9" max="9" width="36.7109375" style="6" customWidth="1"/>
    <col min="10" max="10" width="8.85546875" style="6" customWidth="1"/>
    <col min="11" max="16384" width="8.85546875" style="6"/>
  </cols>
  <sheetData>
    <row r="1" spans="1:10" s="4" customFormat="1" ht="18" customHeight="1" x14ac:dyDescent="0.25">
      <c r="A1" s="4" t="s">
        <v>3</v>
      </c>
      <c r="B1" s="4" t="str">
        <f>'Complete List_09252026'!C1</f>
        <v>NAME</v>
      </c>
      <c r="C1" s="4" t="str">
        <f>'Complete List_09252026'!E1</f>
        <v>ADDRESS</v>
      </c>
      <c r="D1" s="4" t="str">
        <f>'Complete List_09252026'!F1</f>
        <v>CITY</v>
      </c>
      <c r="E1" s="4" t="str">
        <f>'Complete List_09252026'!G1</f>
        <v>STATE</v>
      </c>
      <c r="F1" s="10" t="str">
        <f>'Complete List_09252026'!H1</f>
        <v>ZIP</v>
      </c>
      <c r="G1" s="4" t="str">
        <f>'Complete List_09252026'!J1</f>
        <v>EMAIL</v>
      </c>
      <c r="H1" s="4" t="s">
        <v>10</v>
      </c>
      <c r="I1" s="4" t="str">
        <f>'Complete List_09252026'!L1</f>
        <v>NEIGHBORHOOD OF INTEREST</v>
      </c>
    </row>
    <row r="2" spans="1:10" s="26" customFormat="1" ht="18" customHeight="1" x14ac:dyDescent="0.25">
      <c r="A2" s="71" t="s">
        <v>1835</v>
      </c>
      <c r="B2" s="69"/>
      <c r="C2" s="69"/>
      <c r="D2" s="69"/>
      <c r="E2" s="69"/>
      <c r="F2" s="69"/>
      <c r="G2" s="69"/>
      <c r="H2" s="69"/>
      <c r="I2" s="69"/>
      <c r="J2" s="28"/>
    </row>
    <row r="3" spans="1:10" s="14" customFormat="1" ht="26.45" customHeight="1" x14ac:dyDescent="0.25">
      <c r="A3" s="14" t="str">
        <f>'Complete List_09252026'!D98</f>
        <v>Excelsior District Improvement Association</v>
      </c>
      <c r="B3" s="14" t="str">
        <f>'Complete List_09252026'!C98</f>
        <v>Mel Flores</v>
      </c>
      <c r="C3" s="14" t="str">
        <f>'Complete List_09252026'!E98</f>
        <v>P.O. Box 12005</v>
      </c>
      <c r="D3" s="14" t="str">
        <f>'Complete List_09252026'!F98</f>
        <v>San Francisco</v>
      </c>
      <c r="E3" s="14" t="str">
        <f>'Complete List_09252026'!G98</f>
        <v>CA</v>
      </c>
      <c r="F3" s="14">
        <f>'Complete List_09252026'!H98</f>
        <v>94112</v>
      </c>
      <c r="G3" s="14" t="str">
        <f>'Complete List_09252026'!J98</f>
        <v>melfloressf@gmail.com</v>
      </c>
      <c r="H3" s="14" t="str">
        <f>'Complete List_09252026'!K98</f>
        <v>Physical</v>
      </c>
      <c r="I3" s="14" t="str">
        <f>'Complete List_09252026'!L98</f>
        <v>Crocker Amazon, Excelsior, Ocean View, Outer Mission</v>
      </c>
    </row>
    <row r="4" spans="1:10" s="14" customFormat="1" ht="92.45" customHeight="1" x14ac:dyDescent="0.25">
      <c r="A4" s="14" t="str">
        <f>'Complete List_09252026'!D261</f>
        <v>Sherwin Williams</v>
      </c>
      <c r="B4" s="14" t="str">
        <f>'Complete List_09252026'!C261</f>
        <v>Francesca Panullo</v>
      </c>
      <c r="C4" s="14" t="str">
        <f>'Complete List_09252026'!E261</f>
        <v>1415 Ocean Ave</v>
      </c>
      <c r="D4" s="14" t="str">
        <f>'Complete List_09252026'!F261</f>
        <v>San Francisco</v>
      </c>
      <c r="E4" s="14" t="str">
        <f>'Complete List_09252026'!G261</f>
        <v>CA</v>
      </c>
      <c r="F4" s="14">
        <f>'Complete List_09252026'!H261</f>
        <v>94112</v>
      </c>
      <c r="G4" s="14" t="str">
        <f>'Complete List_09252026'!J261</f>
        <v>sw8644@sherwin.com</v>
      </c>
      <c r="H4" s="14" t="str">
        <f>'Complete List_09252026'!K261</f>
        <v>Physical</v>
      </c>
      <c r="I4" s="14" t="str">
        <f>'Complete List_09252026'!L261</f>
        <v>Bayview, Bernal Heights, Crocker Amazon, Diamond Heights, Excelsior, Glen Park, Inner Sunset, Lakeshore, Noe Valley, Ocean View, Outer Mission, Outer Sunset, Parkside, Potrero Hill, South Bayshore, Twin Peaks, Visitacion Valley, West of Twin Peaks</v>
      </c>
    </row>
    <row r="5" spans="1:10" s="14" customFormat="1" ht="39.6" customHeight="1" x14ac:dyDescent="0.25">
      <c r="A5" s="14" t="str">
        <f>'Complete List_09252026'!D228</f>
        <v>People Organizing to Demand Environmental and Economic Rights (PODER)</v>
      </c>
      <c r="B5" s="14" t="str">
        <f>'Complete List_09252026'!C228</f>
        <v>Antonio Diaz</v>
      </c>
      <c r="C5" s="14" t="str">
        <f>'Complete List_09252026'!E228</f>
        <v>474 Valencia Street #125</v>
      </c>
      <c r="D5" s="14" t="str">
        <f>'Complete List_09252026'!F228</f>
        <v>San Francisco</v>
      </c>
      <c r="E5" s="14" t="str">
        <f>'Complete List_09252026'!G228</f>
        <v>CA</v>
      </c>
      <c r="F5" s="14" t="str">
        <f>'Complete List_09252026'!H228</f>
        <v>94103</v>
      </c>
      <c r="G5" s="14" t="str">
        <f>'Complete List_09252026'!J228</f>
        <v>info@podersf.org</v>
      </c>
      <c r="H5" s="14" t="str">
        <f>'Complete List_09252026'!K228</f>
        <v>Physical</v>
      </c>
      <c r="I5" s="14" t="str">
        <f>'Complete List_09252026'!L228</f>
        <v>Crocker Amazon, Excelsior, Mission, Ocean View, Outer Mission, South of Market</v>
      </c>
    </row>
    <row r="6" spans="1:10" s="14" customFormat="1" ht="39.6" customHeight="1" x14ac:dyDescent="0.25">
      <c r="A6" s="14" t="str">
        <f>'Complete List_09252026'!D173</f>
        <v>Merced Extension Triangle Neighborhood Association (METNA)</v>
      </c>
      <c r="B6" s="14" t="str">
        <f>'Complete List_09252026'!C173</f>
        <v>Marc Christensen</v>
      </c>
      <c r="C6" s="14" t="str">
        <f>'Complete List_09252026'!E173</f>
        <v>60 Kempton Avenue</v>
      </c>
      <c r="D6" s="14" t="str">
        <f>'Complete List_09252026'!F173</f>
        <v>San Francisco</v>
      </c>
      <c r="E6" s="14" t="str">
        <f>'Complete List_09252026'!G173</f>
        <v>CA</v>
      </c>
      <c r="F6" s="14" t="str">
        <f>'Complete List_09252026'!H173</f>
        <v>94132-3221</v>
      </c>
      <c r="G6" s="14" t="str">
        <f>'Complete List_09252026'!J173</f>
        <v>christensen.marc.metna@gmail.com; ragtime217@gmail.com</v>
      </c>
      <c r="H6" s="14" t="str">
        <f>'Complete List_09252026'!K173</f>
        <v>Physical</v>
      </c>
      <c r="I6" s="14" t="str">
        <f>'Complete List_09252026'!L173</f>
        <v>Lakeshore, Ocean View</v>
      </c>
    </row>
    <row r="7" spans="1:10" s="14" customFormat="1" ht="17.45" customHeight="1" x14ac:dyDescent="0.25">
      <c r="A7" s="68" t="s">
        <v>1836</v>
      </c>
      <c r="B7" s="72"/>
      <c r="C7" s="72"/>
      <c r="D7" s="72"/>
      <c r="E7" s="72"/>
      <c r="F7" s="72"/>
      <c r="G7" s="72"/>
      <c r="H7" s="72"/>
      <c r="I7" s="72"/>
    </row>
    <row r="8" spans="1:10" s="14" customFormat="1" ht="79.150000000000006" customHeight="1" x14ac:dyDescent="0.25">
      <c r="A8" s="14" t="str">
        <f>'Complete List_09252026'!D40</f>
        <v>Board of Supervisors</v>
      </c>
      <c r="B8" s="14" t="str">
        <f>'Complete List_09252026'!C40</f>
        <v>Myrna Melgar</v>
      </c>
      <c r="C8" s="14" t="str">
        <f>'Complete List_09252026'!E40</f>
        <v>1 Dr. Carlton B Goodlett Place, Room #244</v>
      </c>
      <c r="D8" s="14" t="str">
        <f>'Complete List_09252026'!F40</f>
        <v>San Francisco</v>
      </c>
      <c r="E8" s="14" t="str">
        <f>'Complete List_09252026'!G40</f>
        <v>CA</v>
      </c>
      <c r="F8" s="14" t="str">
        <f>'Complete List_09252026'!H40</f>
        <v>94102-4689</v>
      </c>
      <c r="G8" s="14" t="str">
        <f>'Complete List_09252026'!J40</f>
        <v>myrna.melgar@sfgov.org;
Jennifer.Fieber@sfgov.org;
Megan.Imperial@sfgov.org;
Lila.Carrillo@sfgov.org;
Jen.Low@sfgov.org;
melgarstaff@sfgov.org</v>
      </c>
      <c r="H8" s="14" t="str">
        <f>'Complete List_09252026'!K40</f>
        <v>Both</v>
      </c>
      <c r="I8" s="14" t="str">
        <f>'Complete List_09252026'!L40</f>
        <v>Inner Sunset, Lakeshore, Ocean View, Parkside, Twin Peaks, West of Twin Peaks</v>
      </c>
    </row>
    <row r="9" spans="1:10" s="26" customFormat="1" ht="18" customHeight="1" x14ac:dyDescent="0.25">
      <c r="A9" s="70" t="s">
        <v>1842</v>
      </c>
      <c r="B9" s="69"/>
      <c r="C9" s="69"/>
      <c r="D9" s="69"/>
      <c r="E9" s="69"/>
      <c r="F9" s="69"/>
      <c r="G9" s="69"/>
      <c r="H9" s="69"/>
      <c r="I9" s="69"/>
      <c r="J9" s="29"/>
    </row>
    <row r="10" spans="1:10" s="14" customFormat="1" ht="26.45" customHeight="1" x14ac:dyDescent="0.25">
      <c r="A10" s="14" t="str">
        <f>'Complete List_09252026'!D134</f>
        <v>Ingleside Terraces Homes Association</v>
      </c>
      <c r="B10" s="14" t="str">
        <f>'Complete List_09252026'!C134</f>
        <v>Paul Conroy</v>
      </c>
      <c r="C10" s="14" t="str">
        <f>'Complete List_09252026'!E134</f>
        <v>P.O. Box 27304</v>
      </c>
      <c r="D10" s="14" t="str">
        <f>'Complete List_09252026'!F134</f>
        <v>San Francisco</v>
      </c>
      <c r="E10" s="14" t="str">
        <f>'Complete List_09252026'!G134</f>
        <v>CA</v>
      </c>
      <c r="F10" s="14" t="str">
        <f>'Complete List_09252026'!H134</f>
        <v>94127-0304</v>
      </c>
      <c r="G10" s="14" t="str">
        <f>'Complete List_09252026'!J134</f>
        <v>President@ithasf.org</v>
      </c>
      <c r="H10" s="14" t="str">
        <f>'Complete List_09252026'!K134</f>
        <v>Electronic</v>
      </c>
      <c r="I10" s="14" t="str">
        <f>'Complete List_09252026'!L134</f>
        <v>Lakeshore, Ocean View, West of Twin Peaks</v>
      </c>
    </row>
    <row r="11" spans="1:10" s="14" customFormat="1" ht="13.15" customHeight="1" x14ac:dyDescent="0.25">
      <c r="A11" s="14" t="str">
        <f>'Complete List_09252026'!D215</f>
        <v>OMI Community Collaborative</v>
      </c>
      <c r="B11" s="14" t="str">
        <f>'Complete List_09252026'!C215</f>
        <v>Delia Fitzpatrick</v>
      </c>
      <c r="C11" s="14" t="str">
        <f>'Complete List_09252026'!E215</f>
        <v>5845 Mission Street #301</v>
      </c>
      <c r="D11" s="14" t="str">
        <f>'Complete List_09252026'!F215</f>
        <v>San Francisco</v>
      </c>
      <c r="E11" s="14" t="str">
        <f>'Complete List_09252026'!G215</f>
        <v>CA</v>
      </c>
      <c r="F11" s="14">
        <f>'Complete List_09252026'!H215</f>
        <v>94112</v>
      </c>
      <c r="G11" s="14" t="str">
        <f>'Complete List_09252026'!J215</f>
        <v>fitzpatrick.delia@gmail.com</v>
      </c>
      <c r="H11" s="14" t="str">
        <f>'Complete List_09252026'!K215</f>
        <v>Electronic</v>
      </c>
      <c r="I11" s="14" t="str">
        <f>'Complete List_09252026'!L215</f>
        <v xml:space="preserve">Ocean View, Outer Mission  </v>
      </c>
    </row>
    <row r="12" spans="1:10" s="14" customFormat="1" ht="26.45" customHeight="1" x14ac:dyDescent="0.25">
      <c r="A12" s="14" t="str">
        <f>'Complete List_09252026'!D213</f>
        <v>Ocean Avenue Association</v>
      </c>
      <c r="B12" s="14" t="str">
        <f>'Complete List_09252026'!C213</f>
        <v>Christian Martin</v>
      </c>
      <c r="C12" s="14" t="str">
        <f>'Complete List_09252026'!E213</f>
        <v>1720 Ocean Avenue</v>
      </c>
      <c r="D12" s="14" t="str">
        <f>'Complete List_09252026'!F213</f>
        <v>San Francisco</v>
      </c>
      <c r="E12" s="14" t="str">
        <f>'Complete List_09252026'!G213</f>
        <v>CA</v>
      </c>
      <c r="F12" s="14">
        <f>'Complete List_09252026'!H213</f>
        <v>94112</v>
      </c>
      <c r="G12" s="14" t="str">
        <f>'Complete List_09252026'!J213</f>
        <v>christianm@oaacbd.org</v>
      </c>
      <c r="H12" s="14" t="str">
        <f>'Complete List_09252026'!K213</f>
        <v>Electronic</v>
      </c>
      <c r="I12" s="14" t="str">
        <f>'Complete List_09252026'!L213</f>
        <v>Ocean View, Outer Mission, West of Twin Peaks</v>
      </c>
    </row>
    <row r="13" spans="1:10" s="14" customFormat="1" ht="26.45" customHeight="1" x14ac:dyDescent="0.25">
      <c r="A13" s="14" t="str">
        <f>'Complete List_09252026'!D317</f>
        <v>Young Community Developers (YCD)</v>
      </c>
      <c r="B13" s="14" t="str">
        <f>'Complete List_09252026'!C317</f>
        <v>Zachary Weisenburger</v>
      </c>
      <c r="C13" s="14" t="str">
        <f>'Complete List_09252026'!E317</f>
        <v>1715 Yosemite Avenue</v>
      </c>
      <c r="D13" s="14" t="str">
        <f>'Complete List_09252026'!F317</f>
        <v>San Francisco</v>
      </c>
      <c r="E13" s="14" t="str">
        <f>'Complete List_09252026'!G317</f>
        <v>CA</v>
      </c>
      <c r="F13" s="14">
        <f>'Complete List_09252026'!H317</f>
        <v>94124</v>
      </c>
      <c r="G13" s="14" t="str">
        <f>'Complete List_09252026'!J317</f>
        <v xml:space="preserve"> zweisenburger@ycdjobs.org</v>
      </c>
      <c r="H13" s="14" t="str">
        <f>'Complete List_09252026'!K317</f>
        <v>Electronic</v>
      </c>
      <c r="I13" s="14" t="str">
        <f>'Complete List_09252026'!L317</f>
        <v>Bayview, Ocean View, Potrero Hill, Visitacion Valley</v>
      </c>
    </row>
    <row r="14" spans="1:10" s="11" customFormat="1" ht="13.15" customHeight="1" x14ac:dyDescent="0.25">
      <c r="A14" s="11" t="str">
        <f>'Complete List_09252026'!D214</f>
        <v>Ocean Incubators</v>
      </c>
      <c r="B14" s="11" t="str">
        <f>'Complete List_09252026'!C214</f>
        <v>Michael Sorrels</v>
      </c>
      <c r="C14" s="11" t="str">
        <f>'Complete List_09252026'!E214</f>
        <v>1637 Ocean Ave</v>
      </c>
      <c r="D14" s="11" t="str">
        <f>'Complete List_09252026'!F214</f>
        <v>San Francisco</v>
      </c>
      <c r="E14" s="11" t="str">
        <f>'Complete List_09252026'!G214</f>
        <v>CA</v>
      </c>
      <c r="F14" s="11">
        <f>'Complete List_09252026'!H214</f>
        <v>94112</v>
      </c>
      <c r="G14" s="11" t="str">
        <f>'Complete List_09252026'!J214</f>
        <v>micheal@sfincubator.org</v>
      </c>
      <c r="H14" s="11" t="str">
        <f>'Complete List_09252026'!K214</f>
        <v>Electronic</v>
      </c>
      <c r="I14" s="11" t="str">
        <f>'Complete List_09252026'!L214</f>
        <v>Ocean View</v>
      </c>
    </row>
    <row r="15" spans="1:10" s="11" customFormat="1" ht="26.45" customHeight="1" x14ac:dyDescent="0.25">
      <c r="A15" s="11" t="str">
        <f>'Complete List_09252026'!D216</f>
        <v>OMI Cultural Participation Project</v>
      </c>
      <c r="B15" s="11" t="str">
        <f>'Complete List_09252026'!C216</f>
        <v>Maurice Rivers</v>
      </c>
      <c r="C15" s="11" t="str">
        <f>'Complete List_09252026'!E216</f>
        <v xml:space="preserve">P.O. Box 12263 </v>
      </c>
      <c r="D15" s="11" t="str">
        <f>'Complete List_09252026'!F216</f>
        <v>San Francisco</v>
      </c>
      <c r="E15" s="11" t="str">
        <f>'Complete List_09252026'!G216</f>
        <v>CA</v>
      </c>
      <c r="F15" s="11">
        <f>'Complete List_09252026'!H216</f>
        <v>94112</v>
      </c>
      <c r="G15" s="11" t="str">
        <f>'Complete List_09252026'!J216</f>
        <v>jumpstreet1983@gmail.com</v>
      </c>
      <c r="H15" s="11" t="str">
        <f>'Complete List_09252026'!K216</f>
        <v>Electronic</v>
      </c>
      <c r="I15" s="11" t="str">
        <f>'Complete List_09252026'!L216</f>
        <v>Crocker Amazon, Excelsior, Ocean View, Outer Mission</v>
      </c>
    </row>
    <row r="16" spans="1:10" s="14" customFormat="1" ht="39.6" customHeight="1" x14ac:dyDescent="0.25">
      <c r="A16" s="14" t="str">
        <f>'Complete List_09252026'!D217</f>
        <v>OneBayview</v>
      </c>
      <c r="B16" s="14" t="str">
        <f>'Complete List_09252026'!C217</f>
        <v>Anietie Ekanem</v>
      </c>
      <c r="C16" s="14" t="str">
        <f>'Complete List_09252026'!E217</f>
        <v>5800 3rd Street #1320</v>
      </c>
      <c r="D16" s="14" t="str">
        <f>'Complete List_09252026'!F217</f>
        <v>San Francisco</v>
      </c>
      <c r="E16" s="14" t="str">
        <f>'Complete List_09252026'!G217</f>
        <v>CA</v>
      </c>
      <c r="F16" s="14">
        <f>'Complete List_09252026'!H217</f>
        <v>94124</v>
      </c>
      <c r="G16" s="14" t="str">
        <f>'Complete List_09252026'!J217</f>
        <v>sfplanningdepartment@onebayview.com
aekanem@onebayview.com</v>
      </c>
      <c r="H16" s="14" t="str">
        <f>'Complete List_09252026'!K217</f>
        <v>Electronic</v>
      </c>
      <c r="I16" s="14" t="str">
        <f>'Complete List_09252026'!L217</f>
        <v>Bayview, Crocker Amazon, Excelsior, Ocean View, Potrero Hill, Visitacion Valley</v>
      </c>
    </row>
  </sheetData>
  <autoFilter ref="A1:I1" xr:uid="{00000000-0009-0000-0000-000016000000}">
    <sortState xmlns:xlrd2="http://schemas.microsoft.com/office/spreadsheetml/2017/richdata2" ref="A2:I11">
      <sortCondition descending="1" ref="H1"/>
    </sortState>
  </autoFilter>
  <mergeCells count="3">
    <mergeCell ref="A7:I7"/>
    <mergeCell ref="A9:I9"/>
    <mergeCell ref="A2:I2"/>
  </mergeCells>
  <pageMargins left="0.7" right="0.7" top="0.75" bottom="0.75" header="0.3" footer="0.3"/>
  <pageSetup scale="52" orientation="landscape"/>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J20"/>
  <sheetViews>
    <sheetView zoomScale="75" zoomScaleNormal="75" zoomScalePageLayoutView="75" workbookViewId="0">
      <selection activeCell="A20" sqref="A20:XFD20"/>
    </sheetView>
  </sheetViews>
  <sheetFormatPr defaultColWidth="8.85546875" defaultRowHeight="12.75" x14ac:dyDescent="0.25"/>
  <cols>
    <col min="1" max="1" width="38.140625" style="5" customWidth="1"/>
    <col min="2" max="2" width="24.7109375" style="5" customWidth="1"/>
    <col min="3" max="3" width="32.42578125" style="5" customWidth="1"/>
    <col min="4" max="4" width="15.42578125" style="5" customWidth="1"/>
    <col min="5" max="5" width="8.85546875" style="5" customWidth="1"/>
    <col min="6" max="6" width="8.85546875" style="8" customWidth="1"/>
    <col min="7" max="7" width="25.42578125" style="5" customWidth="1"/>
    <col min="8" max="8" width="33.28515625" style="5" customWidth="1"/>
    <col min="9" max="9" width="36.7109375" style="5" customWidth="1"/>
    <col min="10" max="10" width="8.85546875" style="5" customWidth="1"/>
    <col min="11" max="16384" width="8.85546875" style="5"/>
  </cols>
  <sheetData>
    <row r="1" spans="1:10" s="4" customFormat="1" ht="18" customHeight="1" x14ac:dyDescent="0.25">
      <c r="A1" s="4" t="s">
        <v>3</v>
      </c>
      <c r="B1" s="4" t="str">
        <f>'Complete List_09252026'!C1</f>
        <v>NAME</v>
      </c>
      <c r="C1" s="4" t="str">
        <f>'Complete List_09252026'!E1</f>
        <v>ADDRESS</v>
      </c>
      <c r="D1" s="4" t="str">
        <f>'Complete List_09252026'!F1</f>
        <v>CITY</v>
      </c>
      <c r="E1" s="4" t="str">
        <f>'Complete List_09252026'!G1</f>
        <v>STATE</v>
      </c>
      <c r="F1" s="10" t="str">
        <f>'Complete List_09252026'!H1</f>
        <v>ZIP</v>
      </c>
      <c r="G1" s="4" t="str">
        <f>'Complete List_09252026'!J1</f>
        <v>EMAIL</v>
      </c>
      <c r="H1" s="4" t="s">
        <v>10</v>
      </c>
      <c r="I1" s="4" t="str">
        <f>'Complete List_09252026'!L1</f>
        <v>NEIGHBORHOOD OF INTEREST</v>
      </c>
    </row>
    <row r="2" spans="1:10" s="26" customFormat="1" ht="18" customHeight="1" x14ac:dyDescent="0.25">
      <c r="A2" s="71" t="s">
        <v>1835</v>
      </c>
      <c r="B2" s="69"/>
      <c r="C2" s="69"/>
      <c r="D2" s="69"/>
      <c r="E2" s="69"/>
      <c r="F2" s="69"/>
      <c r="G2" s="69"/>
      <c r="H2" s="69"/>
      <c r="I2" s="69"/>
      <c r="J2" s="28"/>
    </row>
    <row r="3" spans="1:10" s="14" customFormat="1" ht="26.45" customHeight="1" x14ac:dyDescent="0.25">
      <c r="A3" s="14" t="str">
        <f>'Complete List_09252026'!D98</f>
        <v>Excelsior District Improvement Association</v>
      </c>
      <c r="B3" s="14" t="str">
        <f>'Complete List_09252026'!C98</f>
        <v>Mel Flores</v>
      </c>
      <c r="C3" s="14" t="str">
        <f>'Complete List_09252026'!E98</f>
        <v>P.O. Box 12005</v>
      </c>
      <c r="D3" s="14" t="str">
        <f>'Complete List_09252026'!F98</f>
        <v>San Francisco</v>
      </c>
      <c r="E3" s="14" t="str">
        <f>'Complete List_09252026'!G98</f>
        <v>CA</v>
      </c>
      <c r="F3" s="14">
        <f>'Complete List_09252026'!H98</f>
        <v>94112</v>
      </c>
      <c r="G3" s="14" t="str">
        <f>'Complete List_09252026'!J98</f>
        <v>melfloressf@gmail.com</v>
      </c>
      <c r="H3" s="14" t="str">
        <f>'Complete List_09252026'!K98</f>
        <v>Physical</v>
      </c>
      <c r="I3" s="14" t="str">
        <f>'Complete List_09252026'!L98</f>
        <v>Crocker Amazon, Excelsior, Ocean View, Outer Mission</v>
      </c>
    </row>
    <row r="4" spans="1:10" s="14" customFormat="1" x14ac:dyDescent="0.25">
      <c r="A4" s="14" t="str">
        <f>'Complete List_09252026'!D130</f>
        <v>Hop Past Brew Pub</v>
      </c>
      <c r="B4" s="14" t="str">
        <f>'Complete List_09252026'!C130</f>
        <v>Aron Deorsey</v>
      </c>
      <c r="C4" s="14" t="str">
        <f>'Complete List_09252026'!E130</f>
        <v xml:space="preserve">2887 Bryant St. </v>
      </c>
      <c r="D4" s="14" t="str">
        <f>'Complete List_09252026'!F130</f>
        <v>San Francisco</v>
      </c>
      <c r="E4" s="14" t="str">
        <f>'Complete List_09252026'!G130</f>
        <v>CA</v>
      </c>
      <c r="F4" s="14">
        <f>'Complete List_09252026'!H130</f>
        <v>94110</v>
      </c>
      <c r="G4" s="14" t="str">
        <f>'Complete List_09252026'!J130</f>
        <v>aron.deorsey@gmail.com</v>
      </c>
      <c r="H4" s="14" t="str">
        <f>'Complete List_09252026'!K130</f>
        <v>Physical</v>
      </c>
      <c r="I4" s="14" t="str">
        <f>'Complete List_09252026'!L130</f>
        <v>Bernal Heights, Outer Mission</v>
      </c>
    </row>
    <row r="5" spans="1:10" s="14" customFormat="1" ht="39.6" customHeight="1" x14ac:dyDescent="0.25">
      <c r="A5" s="14" t="str">
        <f>'Complete List_09252026'!D228</f>
        <v>People Organizing to Demand Environmental and Economic Rights (PODER)</v>
      </c>
      <c r="B5" s="14" t="str">
        <f>'Complete List_09252026'!C228</f>
        <v>Antonio Diaz</v>
      </c>
      <c r="C5" s="14" t="str">
        <f>'Complete List_09252026'!E228</f>
        <v>474 Valencia Street #125</v>
      </c>
      <c r="D5" s="14" t="str">
        <f>'Complete List_09252026'!F228</f>
        <v>San Francisco</v>
      </c>
      <c r="E5" s="14" t="str">
        <f>'Complete List_09252026'!G228</f>
        <v>CA</v>
      </c>
      <c r="F5" s="14" t="str">
        <f>'Complete List_09252026'!H228</f>
        <v>94103</v>
      </c>
      <c r="G5" s="14" t="str">
        <f>'Complete List_09252026'!J228</f>
        <v>info@podersf.org</v>
      </c>
      <c r="H5" s="14" t="str">
        <f>'Complete List_09252026'!K228</f>
        <v>Physical</v>
      </c>
      <c r="I5" s="14" t="str">
        <f>'Complete List_09252026'!L228</f>
        <v>Crocker Amazon, Excelsior, Mission, Ocean View, Outer Mission, South of Market</v>
      </c>
    </row>
    <row r="6" spans="1:10" s="14" customFormat="1" ht="92.45" customHeight="1" x14ac:dyDescent="0.25">
      <c r="A6" s="14" t="str">
        <f>'Complete List_09252026'!D261</f>
        <v>Sherwin Williams</v>
      </c>
      <c r="B6" s="14" t="str">
        <f>'Complete List_09252026'!C261</f>
        <v>Francesca Panullo</v>
      </c>
      <c r="C6" s="14" t="str">
        <f>'Complete List_09252026'!E261</f>
        <v>1415 Ocean Ave</v>
      </c>
      <c r="D6" s="14" t="str">
        <f>'Complete List_09252026'!F261</f>
        <v>San Francisco</v>
      </c>
      <c r="E6" s="14" t="str">
        <f>'Complete List_09252026'!G261</f>
        <v>CA</v>
      </c>
      <c r="F6" s="14">
        <f>'Complete List_09252026'!H261</f>
        <v>94112</v>
      </c>
      <c r="G6" s="14" t="str">
        <f>'Complete List_09252026'!J261</f>
        <v>sw8644@sherwin.com</v>
      </c>
      <c r="H6" s="14" t="str">
        <f>'Complete List_09252026'!K261</f>
        <v>Physical</v>
      </c>
      <c r="I6" s="14" t="str">
        <f>'Complete List_09252026'!L261</f>
        <v>Bayview, Bernal Heights, Crocker Amazon, Diamond Heights, Excelsior, Glen Park, Inner Sunset, Lakeshore, Noe Valley, Ocean View, Outer Mission, Outer Sunset, Parkside, Potrero Hill, South Bayshore, Twin Peaks, Visitacion Valley, West of Twin Peaks</v>
      </c>
    </row>
    <row r="7" spans="1:10" s="14" customFormat="1" ht="26.45" customHeight="1" x14ac:dyDescent="0.25">
      <c r="A7" s="14" t="str">
        <f>'Complete List_09252026'!D197</f>
        <v>New Mission Terrace Improvement Association (NMTIA)</v>
      </c>
      <c r="B7" s="14" t="str">
        <f>'Complete List_09252026'!C197</f>
        <v>David Hooper</v>
      </c>
      <c r="C7" s="14" t="str">
        <f>'Complete List_09252026'!E197</f>
        <v>P.O. Box 12111</v>
      </c>
      <c r="D7" s="14" t="str">
        <f>'Complete List_09252026'!F197</f>
        <v>San Francisco</v>
      </c>
      <c r="E7" s="14" t="str">
        <f>'Complete List_09252026'!G197</f>
        <v>CA</v>
      </c>
      <c r="F7" s="14" t="str">
        <f>'Complete List_09252026'!H197</f>
        <v>94112</v>
      </c>
      <c r="G7" s="14" t="str">
        <f>'Complete List_09252026'!J197</f>
        <v>nmtiasf@gmail.com</v>
      </c>
      <c r="H7" s="14" t="str">
        <f>'Complete List_09252026'!K197</f>
        <v>Physical</v>
      </c>
      <c r="I7" s="14" t="str">
        <f>'Complete List_09252026'!L197</f>
        <v xml:space="preserve">Crocker Amazon, Excelsior, Glen Park,  Outer Mission, </v>
      </c>
    </row>
    <row r="8" spans="1:10" s="14" customFormat="1" ht="26.45" customHeight="1" x14ac:dyDescent="0.25">
      <c r="A8" s="14" t="str">
        <f>'Complete List_09252026'!D221</f>
        <v>Outer Mission Residents Association</v>
      </c>
      <c r="B8" s="14" t="str">
        <f>'Complete List_09252026'!C221</f>
        <v>Joelle Kenealey</v>
      </c>
      <c r="C8" s="14" t="str">
        <f>'Complete List_09252026'!E221</f>
        <v>P. O. Box 34426</v>
      </c>
      <c r="D8" s="14" t="str">
        <f>'Complete List_09252026'!F221</f>
        <v>San Francisco</v>
      </c>
      <c r="E8" s="14" t="str">
        <f>'Complete List_09252026'!G221</f>
        <v>CA</v>
      </c>
      <c r="F8" s="14">
        <f>'Complete List_09252026'!H221</f>
        <v>94134</v>
      </c>
      <c r="G8" s="14" t="str">
        <f>'Complete List_09252026'!J221</f>
        <v>sfommra@gmail.com</v>
      </c>
      <c r="H8" s="14" t="str">
        <f>'Complete List_09252026'!K221</f>
        <v>Physical</v>
      </c>
      <c r="I8" s="14" t="str">
        <f>'Complete List_09252026'!L221</f>
        <v>Excelsior, Outer Mission, Crocker Amazon, Visitacion Valley</v>
      </c>
    </row>
    <row r="9" spans="1:10" s="14" customFormat="1" ht="17.45" customHeight="1" x14ac:dyDescent="0.25">
      <c r="A9" s="68" t="s">
        <v>1836</v>
      </c>
      <c r="B9" s="72"/>
      <c r="C9" s="72"/>
      <c r="D9" s="72"/>
      <c r="E9" s="72"/>
      <c r="F9" s="72"/>
      <c r="G9" s="72"/>
      <c r="H9" s="72"/>
      <c r="I9" s="72"/>
    </row>
    <row r="10" spans="1:10" s="14" customFormat="1" ht="39.6" customHeight="1" x14ac:dyDescent="0.25">
      <c r="A10" s="14" t="str">
        <f>'Complete List_09252026'!D37</f>
        <v>Board of Supervisors</v>
      </c>
      <c r="B10" s="14" t="str">
        <f>'Complete List_09252026'!C37</f>
        <v>Chyanne Chen</v>
      </c>
      <c r="C10" s="14" t="str">
        <f>'Complete List_09252026'!E37</f>
        <v>1 Dr. Carlton B Goodlett Place, Room #244</v>
      </c>
      <c r="D10" s="14" t="str">
        <f>'Complete List_09252026'!F37</f>
        <v>San Francisco</v>
      </c>
      <c r="E10" s="14" t="str">
        <f>'Complete List_09252026'!G37</f>
        <v>CA</v>
      </c>
      <c r="F10" s="14" t="str">
        <f>'Complete List_09252026'!H37</f>
        <v>94102-4689</v>
      </c>
      <c r="G10" s="14" t="str">
        <f>'Complete List_09252026'!J37</f>
        <v>ChenStaff@sfgov.org;
Charlie.Sciammas@sfgov.org</v>
      </c>
      <c r="H10" s="14" t="str">
        <f>'Complete List_09252026'!K37</f>
        <v>Both</v>
      </c>
      <c r="I10" s="14" t="str">
        <f>'Complete List_09252026'!L37</f>
        <v>Crocker Amazon, Excelsior, Outer Mission, Visitacion Valley</v>
      </c>
    </row>
    <row r="11" spans="1:10" s="26" customFormat="1" ht="18" customHeight="1" x14ac:dyDescent="0.25">
      <c r="A11" s="70" t="s">
        <v>1842</v>
      </c>
      <c r="B11" s="69"/>
      <c r="C11" s="69"/>
      <c r="D11" s="69"/>
      <c r="E11" s="69"/>
      <c r="F11" s="69"/>
      <c r="G11" s="69"/>
      <c r="H11" s="69"/>
      <c r="I11" s="69"/>
      <c r="J11" s="29"/>
    </row>
    <row r="12" spans="1:10" s="14" customFormat="1" x14ac:dyDescent="0.25">
      <c r="A12" s="14" t="str">
        <f>'Complete List_09252026'!D215</f>
        <v>OMI Community Collaborative</v>
      </c>
      <c r="B12" s="14" t="str">
        <f>'Complete List_09252026'!C215</f>
        <v>Delia Fitzpatrick</v>
      </c>
      <c r="C12" s="14" t="str">
        <f>'Complete List_09252026'!E215</f>
        <v>5845 Mission Street #301</v>
      </c>
      <c r="D12" s="14" t="str">
        <f>'Complete List_09252026'!F215</f>
        <v>San Francisco</v>
      </c>
      <c r="E12" s="14" t="str">
        <f>'Complete List_09252026'!G215</f>
        <v>CA</v>
      </c>
      <c r="F12" s="14">
        <f>'Complete List_09252026'!H215</f>
        <v>94112</v>
      </c>
      <c r="G12" s="14" t="str">
        <f>'Complete List_09252026'!J215</f>
        <v>fitzpatrick.delia@gmail.com</v>
      </c>
      <c r="H12" s="14" t="str">
        <f>'Complete List_09252026'!K215</f>
        <v>Electronic</v>
      </c>
      <c r="I12" s="14" t="str">
        <f>'Complete List_09252026'!L215</f>
        <v xml:space="preserve">Ocean View, Outer Mission  </v>
      </c>
    </row>
    <row r="13" spans="1:10" s="14" customFormat="1" ht="26.45" customHeight="1" x14ac:dyDescent="0.25">
      <c r="A13" s="14" t="str">
        <f>'Complete List_09252026'!D57</f>
        <v>Cayuga Improvement Association</v>
      </c>
      <c r="B13" s="14" t="str">
        <f>'Complete List_09252026'!C57</f>
        <v>CNIA President</v>
      </c>
      <c r="C13" s="14" t="str">
        <f>'Complete List_09252026'!E57</f>
        <v>311 Foote Ave</v>
      </c>
      <c r="D13" s="14" t="str">
        <f>'Complete List_09252026'!F57</f>
        <v>San Francisco</v>
      </c>
      <c r="E13" s="14" t="str">
        <f>'Complete List_09252026'!G57</f>
        <v>CA</v>
      </c>
      <c r="F13" s="14" t="str">
        <f>'Complete List_09252026'!H57</f>
        <v>94112</v>
      </c>
      <c r="G13" s="14" t="str">
        <f>'Complete List_09252026'!J57</f>
        <v xml:space="preserve">cayugaimprovement@gmail.com </v>
      </c>
      <c r="H13" s="14" t="str">
        <f>'Complete List_09252026'!K57</f>
        <v>Electronic</v>
      </c>
      <c r="I13" s="14" t="str">
        <f>'Complete List_09252026'!L57</f>
        <v>Excelsior, Outer Mission</v>
      </c>
    </row>
    <row r="14" spans="1:10" s="14" customFormat="1" ht="26.45" customHeight="1" x14ac:dyDescent="0.25">
      <c r="A14" s="14" t="str">
        <f>'Complete List_09252026'!D108</f>
        <v>Friends of the Havelock Street Bridge</v>
      </c>
      <c r="B14" s="14" t="str">
        <f>'Complete List_09252026'!C108</f>
        <v>C. Weibel</v>
      </c>
      <c r="C14" s="14">
        <f>'Complete List_09252026'!E108</f>
        <v>0</v>
      </c>
      <c r="D14" s="14">
        <f>'Complete List_09252026'!F108</f>
        <v>0</v>
      </c>
      <c r="E14" s="14">
        <f>'Complete List_09252026'!G108</f>
        <v>0</v>
      </c>
      <c r="F14" s="14">
        <f>'Complete List_09252026'!H108</f>
        <v>0</v>
      </c>
      <c r="G14" s="14" t="str">
        <f>'Complete List_09252026'!J108</f>
        <v>havelockstreetbridge@gmail.com</v>
      </c>
      <c r="H14" s="14" t="str">
        <f>'Complete List_09252026'!K108</f>
        <v>Electronic</v>
      </c>
      <c r="I14" s="14" t="str">
        <f>'Complete List_09252026'!L108</f>
        <v xml:space="preserve">Excelsior, Outer Mission </v>
      </c>
    </row>
    <row r="15" spans="1:10" s="14" customFormat="1" ht="25.5" x14ac:dyDescent="0.25">
      <c r="A15" s="14" t="str">
        <f>'Complete List_09252026'!D185</f>
        <v>Mission Economic Development Association</v>
      </c>
      <c r="B15" s="14" t="str">
        <f>'Complete List_09252026'!C185</f>
        <v xml:space="preserve">Jessica Rubio </v>
      </c>
      <c r="C15" s="14" t="str">
        <f>'Complete List_09252026'!E185</f>
        <v>2301 Mission Street #301</v>
      </c>
      <c r="D15" s="14" t="str">
        <f>'Complete List_09252026'!F185</f>
        <v>San Francisco</v>
      </c>
      <c r="E15" s="14" t="str">
        <f>'Complete List_09252026'!G185</f>
        <v>CA</v>
      </c>
      <c r="F15" s="14" t="str">
        <f>'Complete List_09252026'!H185</f>
        <v>94110</v>
      </c>
      <c r="G15" s="14" t="str">
        <f>'Complete List_09252026'!J185</f>
        <v>jrubio@medasf.org</v>
      </c>
      <c r="H15" s="14" t="str">
        <f>'Complete List_09252026'!K185</f>
        <v>Electronic</v>
      </c>
      <c r="I15" s="14" t="str">
        <f>'Complete List_09252026'!L185</f>
        <v>Excelsior, Mission, Outer Mission</v>
      </c>
    </row>
    <row r="16" spans="1:10" s="14" customFormat="1" ht="26.45" customHeight="1" x14ac:dyDescent="0.25">
      <c r="A16" s="14" t="str">
        <f>'Complete List_09252026'!D213</f>
        <v>Ocean Avenue Association</v>
      </c>
      <c r="B16" s="14" t="str">
        <f>'Complete List_09252026'!C213</f>
        <v>Christian Martin</v>
      </c>
      <c r="C16" s="14" t="str">
        <f>'Complete List_09252026'!E213</f>
        <v>1720 Ocean Avenue</v>
      </c>
      <c r="D16" s="14" t="str">
        <f>'Complete List_09252026'!F213</f>
        <v>San Francisco</v>
      </c>
      <c r="E16" s="14" t="str">
        <f>'Complete List_09252026'!G213</f>
        <v>CA</v>
      </c>
      <c r="F16" s="14">
        <f>'Complete List_09252026'!H213</f>
        <v>94112</v>
      </c>
      <c r="G16" s="14" t="str">
        <f>'Complete List_09252026'!J213</f>
        <v>christianm@oaacbd.org</v>
      </c>
      <c r="H16" s="14" t="str">
        <f>'Complete List_09252026'!K213</f>
        <v>Electronic</v>
      </c>
      <c r="I16" s="14" t="str">
        <f>'Complete List_09252026'!L213</f>
        <v>Ocean View, Outer Mission, West of Twin Peaks</v>
      </c>
    </row>
    <row r="17" spans="1:9" s="14" customFormat="1" ht="26.45" customHeight="1" x14ac:dyDescent="0.25">
      <c r="A17" s="14" t="str">
        <f>'Complete List_09252026'!D279</f>
        <v>Sunnyside Neighborhood Association</v>
      </c>
      <c r="B17" s="14" t="str">
        <f>'Complete List_09252026'!C279</f>
        <v>Brian Smith</v>
      </c>
      <c r="C17" s="14" t="str">
        <f>'Complete List_09252026'!E279</f>
        <v>P.O. Box 27615</v>
      </c>
      <c r="D17" s="14" t="str">
        <f>'Complete List_09252026'!F279</f>
        <v>San Francisco</v>
      </c>
      <c r="E17" s="14" t="str">
        <f>'Complete List_09252026'!G279</f>
        <v>CA</v>
      </c>
      <c r="F17" s="14">
        <f>'Complete List_09252026'!H279</f>
        <v>94127</v>
      </c>
      <c r="G17" s="14" t="str">
        <f>'Complete List_09252026'!J279</f>
        <v>info@sunnysideassociation.org</v>
      </c>
      <c r="H17" s="14" t="str">
        <f>'Complete List_09252026'!K279</f>
        <v>Electronic</v>
      </c>
      <c r="I17" s="14" t="str">
        <f>'Complete List_09252026'!L279</f>
        <v>Outer Mission</v>
      </c>
    </row>
    <row r="18" spans="1:9" ht="69.75" customHeight="1" x14ac:dyDescent="0.25">
      <c r="A18" s="5" t="str">
        <f>'Complete List_09252026'!D154</f>
        <v>Liberation Alliance for Economic and Social Change</v>
      </c>
      <c r="B18" s="5" t="str">
        <f>'Complete List_09252026'!C154</f>
        <v>Keith Pavlik</v>
      </c>
      <c r="C18" s="5" t="str">
        <f>'Complete List_09252026'!E154</f>
        <v>2969 Mission Street</v>
      </c>
      <c r="D18" s="5" t="str">
        <f>'Complete List_09252026'!F154</f>
        <v>San Francisco</v>
      </c>
      <c r="E18" s="5" t="str">
        <f>'Complete List_09252026'!G154</f>
        <v>CA</v>
      </c>
      <c r="F18" s="5">
        <f>'Complete List_09252026'!H154</f>
        <v>94110</v>
      </c>
      <c r="G18" s="5" t="str">
        <f>'Complete List_09252026'!J154</f>
        <v>info@liberationalliance.org</v>
      </c>
      <c r="H18" s="5" t="str">
        <f>'Complete List_09252026'!K154</f>
        <v>Electronic</v>
      </c>
      <c r="I18" s="5" t="str">
        <f>'Complete List_09252026'!L154</f>
        <v>Bayview, Bernal Heights, Castro/Upper Market, Chinatown, Downtown/Civic Center, Excelsior, Mission, Nob Hill, Noe Valley, Outer Mission, Potrero Hill, South of Market, Western Addition</v>
      </c>
    </row>
    <row r="19" spans="1:9" ht="26.45" customHeight="1" x14ac:dyDescent="0.25">
      <c r="A19" s="5" t="str">
        <f>'Complete List_09252026'!D216</f>
        <v>OMI Cultural Participation Project</v>
      </c>
      <c r="B19" s="5" t="str">
        <f>'Complete List_09252026'!C216</f>
        <v>Maurice Rivers</v>
      </c>
      <c r="C19" s="5" t="str">
        <f>'Complete List_09252026'!E216</f>
        <v xml:space="preserve">P.O. Box 12263 </v>
      </c>
      <c r="D19" s="5" t="str">
        <f>'Complete List_09252026'!F216</f>
        <v>San Francisco</v>
      </c>
      <c r="E19" s="5" t="str">
        <f>'Complete List_09252026'!G216</f>
        <v>CA</v>
      </c>
      <c r="F19" s="8">
        <f>'Complete List_09252026'!H216</f>
        <v>94112</v>
      </c>
      <c r="G19" s="5" t="str">
        <f>'Complete List_09252026'!J216</f>
        <v>jumpstreet1983@gmail.com</v>
      </c>
      <c r="H19" s="5" t="str">
        <f>'Complete List_09252026'!K216</f>
        <v>Electronic</v>
      </c>
      <c r="I19" s="5" t="str">
        <f>'Complete List_09252026'!L216</f>
        <v>Crocker Amazon, Excelsior, Ocean View, Outer Mission</v>
      </c>
    </row>
    <row r="20" spans="1:9" ht="38.25" x14ac:dyDescent="0.25">
      <c r="A20" s="5" t="str">
        <f>'Complete List_09252026'!D146</f>
        <v>Keep Crocker Real</v>
      </c>
      <c r="B20" s="5" t="str">
        <f>'Complete List_09252026'!C146</f>
        <v>KC Real</v>
      </c>
      <c r="C20" s="5">
        <f>'Complete List_09252026'!E146</f>
        <v>0</v>
      </c>
      <c r="D20" s="5" t="str">
        <f>'Complete List_09252026'!F146</f>
        <v>San Francisco</v>
      </c>
      <c r="E20" s="5" t="str">
        <f>'Complete List_09252026'!G146</f>
        <v>CA</v>
      </c>
      <c r="F20" s="5">
        <f>'Complete List_09252026'!H146</f>
        <v>94112</v>
      </c>
      <c r="G20" s="5" t="str">
        <f>'Complete List_09252026'!J146</f>
        <v>hello@keepcrockerreal.com</v>
      </c>
      <c r="H20" s="5" t="str">
        <f>'Complete List_09252026'!K146</f>
        <v>Electronic</v>
      </c>
      <c r="I20" s="5" t="str">
        <f>'Complete List_09252026'!L146</f>
        <v>Bayview, Crocker Amazon, Excelsior, Glen Park, Outer Mission, Visitacion Valley</v>
      </c>
    </row>
  </sheetData>
  <autoFilter ref="A1:I1" xr:uid="{00000000-0009-0000-0000-000017000000}">
    <sortState xmlns:xlrd2="http://schemas.microsoft.com/office/spreadsheetml/2017/richdata2" ref="A2:I14">
      <sortCondition descending="1" ref="H1"/>
    </sortState>
  </autoFilter>
  <mergeCells count="3">
    <mergeCell ref="A9:I9"/>
    <mergeCell ref="A2:I2"/>
    <mergeCell ref="A11:I11"/>
  </mergeCells>
  <pageMargins left="0.7" right="0.7" top="0.75" bottom="0.75" header="0.3" footer="0.3"/>
  <pageSetup scale="52"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J22"/>
  <sheetViews>
    <sheetView zoomScale="75" zoomScaleNormal="75" zoomScalePageLayoutView="75" workbookViewId="0">
      <selection activeCell="A23" sqref="A23"/>
    </sheetView>
  </sheetViews>
  <sheetFormatPr defaultColWidth="8.85546875" defaultRowHeight="12.75" x14ac:dyDescent="0.25"/>
  <cols>
    <col min="1" max="1" width="31" style="5" customWidth="1"/>
    <col min="2" max="2" width="25.140625" style="5" customWidth="1"/>
    <col min="3" max="3" width="28.140625" style="5" customWidth="1"/>
    <col min="4" max="4" width="15.140625" style="5" customWidth="1"/>
    <col min="5" max="5" width="7.42578125" style="5" customWidth="1"/>
    <col min="6" max="6" width="9.7109375" style="8" customWidth="1"/>
    <col min="7" max="7" width="24.28515625" style="5" customWidth="1"/>
    <col min="8" max="8" width="35" style="5" customWidth="1"/>
    <col min="9" max="9" width="45.140625" style="5" customWidth="1"/>
    <col min="10" max="10" width="8.85546875" style="5" customWidth="1"/>
    <col min="11" max="16384" width="8.85546875" style="5"/>
  </cols>
  <sheetData>
    <row r="1" spans="1:10" s="4" customFormat="1" ht="18" customHeight="1" x14ac:dyDescent="0.25">
      <c r="A1" s="4" t="s">
        <v>3</v>
      </c>
      <c r="B1" s="4" t="str">
        <f>'Complete List_09252026'!C1</f>
        <v>NAME</v>
      </c>
      <c r="C1" s="4" t="str">
        <f>'Complete List_09252026'!E1</f>
        <v>ADDRESS</v>
      </c>
      <c r="D1" s="4" t="str">
        <f>'Complete List_09252026'!F1</f>
        <v>CITY</v>
      </c>
      <c r="E1" s="4" t="str">
        <f>'Complete List_09252026'!G1</f>
        <v>STATE</v>
      </c>
      <c r="F1" s="10" t="str">
        <f>'Complete List_09252026'!H1</f>
        <v>ZIP</v>
      </c>
      <c r="G1" s="4" t="str">
        <f>'Complete List_09252026'!J1</f>
        <v>EMAIL</v>
      </c>
      <c r="H1" s="4" t="s">
        <v>10</v>
      </c>
      <c r="I1" s="4" t="str">
        <f>'Complete List_09252026'!L1</f>
        <v>NEIGHBORHOOD OF INTEREST</v>
      </c>
    </row>
    <row r="2" spans="1:10" s="26" customFormat="1" ht="18" customHeight="1" x14ac:dyDescent="0.25">
      <c r="A2" s="71" t="s">
        <v>1835</v>
      </c>
      <c r="B2" s="69"/>
      <c r="C2" s="69"/>
      <c r="D2" s="69"/>
      <c r="E2" s="69"/>
      <c r="F2" s="69"/>
      <c r="G2" s="69"/>
      <c r="H2" s="69"/>
      <c r="I2" s="69"/>
      <c r="J2" s="28"/>
    </row>
    <row r="3" spans="1:10" s="14" customFormat="1" ht="26.45" customHeight="1" x14ac:dyDescent="0.25">
      <c r="A3" s="14" t="str">
        <f>'Complete List_09252026'!D22</f>
        <v>Balboa Village Merchants Association</v>
      </c>
      <c r="B3" s="14" t="str">
        <f>'Complete List_09252026'!C22</f>
        <v>Yuka Ioroi</v>
      </c>
      <c r="C3" s="14" t="str">
        <f>'Complete List_09252026'!E22</f>
        <v>3519 Balboa Street</v>
      </c>
      <c r="D3" s="14" t="str">
        <f>'Complete List_09252026'!F22</f>
        <v>San Francisco</v>
      </c>
      <c r="E3" s="14" t="str">
        <f>'Complete List_09252026'!G22</f>
        <v>CA</v>
      </c>
      <c r="F3" s="14">
        <f>'Complete List_09252026'!H22</f>
        <v>94121</v>
      </c>
      <c r="G3" s="14" t="str">
        <f>'Complete List_09252026'!J22</f>
        <v>yukaioroi@gmail.com</v>
      </c>
      <c r="H3" s="14" t="str">
        <f>'Complete List_09252026'!K22</f>
        <v>Physical</v>
      </c>
      <c r="I3" s="14" t="str">
        <f>'Complete List_09252026'!L22</f>
        <v>Outer Richmond</v>
      </c>
    </row>
    <row r="4" spans="1:10" s="14" customFormat="1" ht="39.6" customHeight="1" x14ac:dyDescent="0.25">
      <c r="A4" s="14" t="str">
        <f>'Complete List_09252026'!D132</f>
        <v>Housing Rights Committee of San Francisco</v>
      </c>
      <c r="B4" s="14" t="str">
        <f>'Complete List_09252026'!C132</f>
        <v>Sarah Sherburn-Zimmer</v>
      </c>
      <c r="C4" s="14" t="str">
        <f>'Complete List_09252026'!E132</f>
        <v>1663 Mission Street, Suite 504</v>
      </c>
      <c r="D4" s="14" t="str">
        <f>'Complete List_09252026'!F132</f>
        <v>San Francisco</v>
      </c>
      <c r="E4" s="14" t="str">
        <f>'Complete List_09252026'!G132</f>
        <v>CA</v>
      </c>
      <c r="F4" s="14">
        <f>'Complete List_09252026'!H132</f>
        <v>94103</v>
      </c>
      <c r="G4" s="14" t="str">
        <f>'Complete List_09252026'!J132</f>
        <v>fred@hrcsf.org</v>
      </c>
      <c r="H4" s="14" t="str">
        <f>'Complete List_09252026'!K132</f>
        <v>Physical</v>
      </c>
      <c r="I4" s="14" t="str">
        <f>'Complete List_09252026'!L132</f>
        <v>Golden Gate Park, Inner Richmond, Inner Sunset, Lakeshore, Outer Richmond, Outer Sunset, Parkside, West of Twin Peaks</v>
      </c>
    </row>
    <row r="5" spans="1:10" s="14" customFormat="1" ht="26.45" customHeight="1" x14ac:dyDescent="0.25">
      <c r="A5" s="14" t="str">
        <f>'Complete List_09252026'!D224</f>
        <v>Outlands Planning Council</v>
      </c>
      <c r="B5" s="14" t="str">
        <f>'Complete List_09252026'!C224</f>
        <v>Doug Bird</v>
      </c>
      <c r="C5" s="14" t="str">
        <f>'Complete List_09252026'!E224</f>
        <v>1511 44th Avenue</v>
      </c>
      <c r="D5" s="14" t="str">
        <f>'Complete List_09252026'!F224</f>
        <v>San Franicsco</v>
      </c>
      <c r="E5" s="14" t="str">
        <f>'Complete List_09252026'!G224</f>
        <v>CA</v>
      </c>
      <c r="F5" s="14">
        <f>'Complete List_09252026'!H224</f>
        <v>94122</v>
      </c>
      <c r="G5" s="14" t="str">
        <f>'Complete List_09252026'!J224</f>
        <v>outlands.planning@gmail.com</v>
      </c>
      <c r="H5" s="14" t="str">
        <f>'Complete List_09252026'!K224</f>
        <v>Physical</v>
      </c>
      <c r="I5" s="14" t="str">
        <f>'Complete List_09252026'!L224</f>
        <v>Outer Richmond, Outer Sunset, Parkside</v>
      </c>
    </row>
    <row r="6" spans="1:10" s="14" customFormat="1" ht="26.45" customHeight="1" x14ac:dyDescent="0.25">
      <c r="A6" s="14" t="str">
        <f>'Complete List_09252026'!D144</f>
        <v>Jordan Park Improvement Assocation</v>
      </c>
      <c r="B6" s="14" t="str">
        <f>'Complete List_09252026'!C144</f>
        <v>Rose Hillson</v>
      </c>
      <c r="C6" s="14" t="str">
        <f>'Complete List_09252026'!E144</f>
        <v>115 Parker Avenue</v>
      </c>
      <c r="D6" s="14" t="str">
        <f>'Complete List_09252026'!F144</f>
        <v>San Francisco</v>
      </c>
      <c r="E6" s="14" t="str">
        <f>'Complete List_09252026'!G144</f>
        <v>CA</v>
      </c>
      <c r="F6" s="14" t="str">
        <f>'Complete List_09252026'!H144</f>
        <v>94118-2607</v>
      </c>
      <c r="G6" s="14">
        <f>'Complete List_09252026'!J144</f>
        <v>0</v>
      </c>
      <c r="H6" s="14" t="str">
        <f>'Complete List_09252026'!K144</f>
        <v>Physical</v>
      </c>
      <c r="I6" s="14" t="str">
        <f>'Complete List_09252026'!L144</f>
        <v>Inner Richmond, Marina, Pacific Heights, Presidio Heights, Outer Richmond, Seacliff</v>
      </c>
    </row>
    <row r="7" spans="1:10" s="14" customFormat="1" ht="26.45" customHeight="1" x14ac:dyDescent="0.25">
      <c r="A7" s="14" t="str">
        <f>'Complete List_09252026'!D158</f>
        <v>Lincoln Park Homeowners Association</v>
      </c>
      <c r="B7" s="14" t="str">
        <f>'Complete List_09252026'!C158</f>
        <v>Norman Kondy</v>
      </c>
      <c r="C7" s="14" t="str">
        <f>'Complete List_09252026'!E158</f>
        <v>271 32nd Avenue</v>
      </c>
      <c r="D7" s="14" t="str">
        <f>'Complete List_09252026'!F158</f>
        <v>San Francisco</v>
      </c>
      <c r="E7" s="14" t="str">
        <f>'Complete List_09252026'!G158</f>
        <v>CA</v>
      </c>
      <c r="F7" s="14" t="str">
        <f>'Complete List_09252026'!H158</f>
        <v>94121</v>
      </c>
      <c r="G7" s="14" t="str">
        <f>'Complete List_09252026'!J158</f>
        <v>nkondy@sbcglobal.net</v>
      </c>
      <c r="H7" s="14" t="str">
        <f>'Complete List_09252026'!K158</f>
        <v>Physical</v>
      </c>
      <c r="I7" s="14" t="str">
        <f>'Complete List_09252026'!L158</f>
        <v>Outer Richmond, Seacliff</v>
      </c>
    </row>
    <row r="8" spans="1:10" s="14" customFormat="1" x14ac:dyDescent="0.25">
      <c r="A8" s="14" t="str">
        <f>'Complete List_09252026'!D178</f>
        <v>Mid-Richmond Coalition</v>
      </c>
      <c r="B8" s="14" t="str">
        <f>'Complete List_09252026'!C178</f>
        <v>Megan Sullivan</v>
      </c>
      <c r="C8" s="14" t="str">
        <f>'Complete List_09252026'!E178</f>
        <v>376 17th Avenue</v>
      </c>
      <c r="D8" s="14" t="str">
        <f>'Complete List_09252026'!F178</f>
        <v>San Francisco</v>
      </c>
      <c r="E8" s="14" t="str">
        <f>'Complete List_09252026'!G178</f>
        <v>CA</v>
      </c>
      <c r="F8" s="14" t="str">
        <f>'Complete List_09252026'!H178</f>
        <v>94121</v>
      </c>
      <c r="G8" s="14" t="str">
        <f>'Complete List_09252026'!J178</f>
        <v>sulliblums@gmail.com</v>
      </c>
      <c r="H8" s="14" t="str">
        <f>'Complete List_09252026'!K178</f>
        <v>Physical</v>
      </c>
      <c r="I8" s="14" t="str">
        <f>'Complete List_09252026'!L178</f>
        <v>Inner Richmond, Outer Richmond</v>
      </c>
    </row>
    <row r="9" spans="1:10" s="14" customFormat="1" ht="17.45" customHeight="1" x14ac:dyDescent="0.25">
      <c r="A9" s="68" t="s">
        <v>1836</v>
      </c>
      <c r="B9" s="72"/>
      <c r="C9" s="72"/>
      <c r="D9" s="72"/>
      <c r="E9" s="72"/>
      <c r="F9" s="72"/>
      <c r="G9" s="72"/>
      <c r="H9" s="72"/>
      <c r="I9" s="72"/>
    </row>
    <row r="10" spans="1:10" s="14" customFormat="1" ht="79.150000000000006" customHeight="1" x14ac:dyDescent="0.25">
      <c r="A10" s="14" t="str">
        <f>'Complete List_09252026'!D39</f>
        <v>Board of Supervisors</v>
      </c>
      <c r="B10" s="14" t="str">
        <f>'Complete List_09252026'!C39</f>
        <v xml:space="preserve">Connie Chan </v>
      </c>
      <c r="C10" s="14" t="str">
        <f>'Complete List_09252026'!E39</f>
        <v>1 Dr. Carlton B Goodlett Place, Room #244</v>
      </c>
      <c r="D10" s="14" t="str">
        <f>'Complete List_09252026'!F39</f>
        <v>San Francisco</v>
      </c>
      <c r="E10" s="14" t="str">
        <f>'Complete List_09252026'!G39</f>
        <v>CA</v>
      </c>
      <c r="F10" s="14" t="str">
        <f>'Complete List_09252026'!H39</f>
        <v>94102-4689</v>
      </c>
      <c r="G10" s="14" t="str">
        <f>'Complete List_09252026'!J39</f>
        <v>connie.chan@sfgov.org;
ian.fregosi@sfgov.org;
frances.hsieh@sfgov.org;
kelly.groth@sfgov.org;
angelina.yu@sfgov.org;
ChanStaff@sfgov.org</v>
      </c>
      <c r="H10" s="14" t="str">
        <f>'Complete List_09252026'!K39</f>
        <v>Both</v>
      </c>
      <c r="I10" s="14" t="str">
        <f>'Complete List_09252026'!L39</f>
        <v>Inner Richmond, Outer Richmond, Seacliff</v>
      </c>
    </row>
    <row r="11" spans="1:10" s="26" customFormat="1" ht="18" customHeight="1" x14ac:dyDescent="0.25">
      <c r="A11" s="70" t="s">
        <v>1842</v>
      </c>
      <c r="B11" s="69"/>
      <c r="C11" s="69"/>
      <c r="D11" s="69"/>
      <c r="E11" s="69"/>
      <c r="F11" s="69"/>
      <c r="G11" s="69"/>
      <c r="H11" s="69"/>
      <c r="I11" s="69"/>
      <c r="J11" s="29"/>
    </row>
    <row r="12" spans="1:10" s="14" customFormat="1" ht="26.45" customHeight="1" x14ac:dyDescent="0.25">
      <c r="A12" s="14" t="str">
        <f>'Complete List_09252026'!D64</f>
        <v>Clement Street Merchants Association</v>
      </c>
      <c r="B12" s="14" t="str">
        <f>'Complete List_09252026'!C64</f>
        <v>Cynthia Huie</v>
      </c>
      <c r="C12" s="14" t="str">
        <f>'Complete List_09252026'!E64</f>
        <v>219 Clement St.</v>
      </c>
      <c r="D12" s="14" t="str">
        <f>'Complete List_09252026'!F64</f>
        <v>San Francisco</v>
      </c>
      <c r="E12" s="14" t="str">
        <f>'Complete List_09252026'!G64</f>
        <v>CA</v>
      </c>
      <c r="F12" s="14" t="str">
        <f>'Complete List_09252026'!H64</f>
        <v>94118</v>
      </c>
      <c r="G12" s="14" t="str">
        <f>'Complete List_09252026'!J64</f>
        <v>hello@clementstreetsf.com</v>
      </c>
      <c r="H12" s="14" t="str">
        <f>'Complete List_09252026'!K64</f>
        <v>Electronic</v>
      </c>
      <c r="I12" s="14" t="str">
        <f>'Complete List_09252026'!L64</f>
        <v>Outer Richmond</v>
      </c>
    </row>
    <row r="13" spans="1:10" s="14" customFormat="1" ht="26.45" customHeight="1" x14ac:dyDescent="0.25">
      <c r="A13" s="14" t="str">
        <f>'Complete List_09252026'!D237</f>
        <v>Richmond District Rising</v>
      </c>
      <c r="B13" s="14" t="str">
        <f>'Complete List_09252026'!C237</f>
        <v>Joseph Smooke</v>
      </c>
      <c r="C13" s="14" t="str">
        <f>'Complete List_09252026'!E237</f>
        <v>366 10th Ave</v>
      </c>
      <c r="D13" s="14" t="str">
        <f>'Complete List_09252026'!F237</f>
        <v>San Francisco</v>
      </c>
      <c r="E13" s="14" t="str">
        <f>'Complete List_09252026'!G237</f>
        <v>CA</v>
      </c>
      <c r="F13" s="14">
        <f>'Complete List_09252026'!H237</f>
        <v>94118</v>
      </c>
      <c r="G13" s="14" t="str">
        <f>'Complete List_09252026'!J237</f>
        <v>joseph_smooke@yahoo.com</v>
      </c>
      <c r="H13" s="14" t="str">
        <f>'Complete List_09252026'!K237</f>
        <v>Electronic</v>
      </c>
      <c r="I13" s="14" t="str">
        <f>'Complete List_09252026'!L237</f>
        <v>Inner Richmond, Outer Richmond</v>
      </c>
    </row>
    <row r="14" spans="1:10" s="14" customFormat="1" ht="26.45" customHeight="1" x14ac:dyDescent="0.25">
      <c r="A14" s="14" t="str">
        <f>'Complete List_09252026'!D67</f>
        <v>Coalition to Save Ocean Beach / Friends of Sutro Park</v>
      </c>
      <c r="B14" s="14" t="str">
        <f>'Complete List_09252026'!C67</f>
        <v>Jason Jungreis</v>
      </c>
      <c r="C14" s="14" t="str">
        <f>'Complete List_09252026'!E67</f>
        <v>527 47th Avenue</v>
      </c>
      <c r="D14" s="14" t="str">
        <f>'Complete List_09252026'!F67</f>
        <v>San Francisco</v>
      </c>
      <c r="E14" s="14" t="str">
        <f>'Complete List_09252026'!G67</f>
        <v>CA</v>
      </c>
      <c r="F14" s="14">
        <f>'Complete List_09252026'!H67</f>
        <v>94121</v>
      </c>
      <c r="G14" s="14" t="str">
        <f>'Complete List_09252026'!J67</f>
        <v>jasonzjungreis@gmail.com</v>
      </c>
      <c r="H14" s="14" t="str">
        <f>'Complete List_09252026'!K67</f>
        <v>Electronic</v>
      </c>
      <c r="I14" s="14" t="str">
        <f>'Complete List_09252026'!L67</f>
        <v>Golden Gate Park, Outer Richmond, Seacliff</v>
      </c>
    </row>
    <row r="15" spans="1:10" s="14" customFormat="1" ht="26.45" customHeight="1" x14ac:dyDescent="0.25">
      <c r="A15" s="14" t="str">
        <f>'Complete List_09252026'!D120</f>
        <v>Grow the Richmond</v>
      </c>
      <c r="B15" s="14" t="str">
        <f>'Complete List_09252026'!C120</f>
        <v>Jane Natoli</v>
      </c>
      <c r="C15" s="14" t="str">
        <f>'Complete List_09252026'!E120</f>
        <v>759 6th Ave #7</v>
      </c>
      <c r="D15" s="14" t="str">
        <f>'Complete List_09252026'!F120</f>
        <v>San Francisco</v>
      </c>
      <c r="E15" s="14" t="str">
        <f>'Complete List_09252026'!G120</f>
        <v>CA</v>
      </c>
      <c r="F15" s="14">
        <f>'Complete List_09252026'!H120</f>
        <v>94118</v>
      </c>
      <c r="G15" s="14" t="str">
        <f>'Complete List_09252026'!J120</f>
        <v>hello@growtherichmond.com</v>
      </c>
      <c r="H15" s="14" t="str">
        <f>'Complete List_09252026'!K120</f>
        <v>Electronic</v>
      </c>
      <c r="I15" s="14" t="str">
        <f>'Complete List_09252026'!L120</f>
        <v>Inner Richmond, Outer Richmond, Presidio Heights, Seacliff</v>
      </c>
    </row>
    <row r="16" spans="1:10" s="14" customFormat="1" ht="26.45" customHeight="1" x14ac:dyDescent="0.25">
      <c r="A16" s="14" t="str">
        <f>'Complete List_09252026'!D229</f>
        <v>Planning Association for the Richmond (PAR)</v>
      </c>
      <c r="B16" s="14" t="str">
        <f>'Complete List_09252026'!C229</f>
        <v>Dan Baroni</v>
      </c>
      <c r="C16" s="14" t="str">
        <f>'Complete List_09252026'!E229</f>
        <v>2828  Fulton Street</v>
      </c>
      <c r="D16" s="14" t="str">
        <f>'Complete List_09252026'!F229</f>
        <v>San Francisco</v>
      </c>
      <c r="E16" s="14" t="str">
        <f>'Complete List_09252026'!G229</f>
        <v>CA</v>
      </c>
      <c r="F16" s="14" t="str">
        <f>'Complete List_09252026'!H229</f>
        <v>94118-3300</v>
      </c>
      <c r="G16" s="14" t="str">
        <f>'Complete List_09252026'!J229</f>
        <v>dmbaroni@mac.com; sfparlanduse@gmail.com</v>
      </c>
      <c r="H16" s="14" t="str">
        <f>'Complete List_09252026'!K229</f>
        <v>Electronic</v>
      </c>
      <c r="I16" s="14" t="str">
        <f>'Complete List_09252026'!L229</f>
        <v>Inner Richmond, Outer Richmond, Seacliff</v>
      </c>
    </row>
    <row r="17" spans="1:9" s="14" customFormat="1" x14ac:dyDescent="0.25">
      <c r="A17" s="14" t="str">
        <f>'Complete List_09252026'!D246</f>
        <v>Sea Cliff Cares</v>
      </c>
      <c r="B17" s="14" t="str">
        <f>'Complete List_09252026'!C246</f>
        <v>Peter Tempel</v>
      </c>
      <c r="C17" s="14" t="str">
        <f>'Complete List_09252026'!E246</f>
        <v>230 El Camino Del Mar</v>
      </c>
      <c r="D17" s="14" t="str">
        <f>'Complete List_09252026'!F246</f>
        <v>San Francisco</v>
      </c>
      <c r="E17" s="14" t="str">
        <f>'Complete List_09252026'!G246</f>
        <v>CA</v>
      </c>
      <c r="F17" s="14">
        <f>'Complete List_09252026'!H246</f>
        <v>94121</v>
      </c>
      <c r="G17" s="14" t="str">
        <f>'Complete List_09252026'!J246</f>
        <v>SeaCliffCares@tempel.net</v>
      </c>
      <c r="H17" s="14" t="str">
        <f>'Complete List_09252026'!K246</f>
        <v>Electronic</v>
      </c>
      <c r="I17" s="14" t="str">
        <f>'Complete List_09252026'!L246</f>
        <v>Outer Richmond, Seacliff</v>
      </c>
    </row>
    <row r="18" spans="1:9" s="14" customFormat="1" ht="26.45" customHeight="1" x14ac:dyDescent="0.25">
      <c r="A18" s="14" t="str">
        <f>'Complete List_09252026'!D247</f>
        <v>Self-Help for the Elderly</v>
      </c>
      <c r="B18" s="14" t="str">
        <f>'Complete List_09252026'!C247</f>
        <v>Anni Chung</v>
      </c>
      <c r="C18" s="14" t="str">
        <f>'Complete List_09252026'!E247</f>
        <v>731 Sansome Street, Suite 1000</v>
      </c>
      <c r="D18" s="14" t="str">
        <f>'Complete List_09252026'!F247</f>
        <v>San Francisco</v>
      </c>
      <c r="E18" s="14" t="str">
        <f>'Complete List_09252026'!G247</f>
        <v>CA</v>
      </c>
      <c r="F18" s="14" t="str">
        <f>'Complete List_09252026'!H247</f>
        <v>94111</v>
      </c>
      <c r="G18" s="14" t="str">
        <f>'Complete List_09252026'!J247</f>
        <v>annic@selfhelpelderly.org</v>
      </c>
      <c r="H18" s="14" t="str">
        <f>'Complete List_09252026'!K247</f>
        <v>Electronic</v>
      </c>
      <c r="I18" s="14" t="str">
        <f>'Complete List_09252026'!L247</f>
        <v>Chinatown, Inner Richmond, Inner Sunset, Outer Richmond, Outer Sunset</v>
      </c>
    </row>
    <row r="19" spans="1:9" ht="26.45" customHeight="1" x14ac:dyDescent="0.25">
      <c r="A19" s="5" t="str">
        <f>'Complete List_09252026'!D312</f>
        <v>Westside Community Coalition</v>
      </c>
      <c r="B19" s="5" t="str">
        <f>'Complete List_09252026'!C312</f>
        <v>Joseph Smooke</v>
      </c>
      <c r="C19" s="5" t="str">
        <f>'Complete List_09252026'!E312</f>
        <v>366 10th Ave</v>
      </c>
      <c r="D19" s="5" t="str">
        <f>'Complete List_09252026'!F312</f>
        <v>San Francisco</v>
      </c>
      <c r="E19" s="5" t="str">
        <f>'Complete List_09252026'!G312</f>
        <v>CA</v>
      </c>
      <c r="F19" s="5">
        <f>'Complete List_09252026'!H312</f>
        <v>94118</v>
      </c>
      <c r="G19" s="5" t="str">
        <f>'Complete List_09252026'!J312</f>
        <v>joseph_smooke@yahoo.com</v>
      </c>
      <c r="H19" s="5" t="str">
        <f>'Complete List_09252026'!K312</f>
        <v>Electronic</v>
      </c>
      <c r="I19" s="5" t="str">
        <f>'Complete List_09252026'!L312</f>
        <v>Inner Richmond, Inner Sunset, Lakeshore, Outer Richmond, Outer Sunset, Parkside</v>
      </c>
    </row>
    <row r="20" spans="1:9" ht="26.45" customHeight="1" x14ac:dyDescent="0.25">
      <c r="A20" s="5" t="str">
        <f>'Complete List_09252026'!D33</f>
        <v>Better Housing Policies</v>
      </c>
      <c r="B20" s="5" t="str">
        <f>'Complete List_09252026'!C33</f>
        <v>Josephine Zhao</v>
      </c>
      <c r="C20" s="5" t="str">
        <f>'Complete List_09252026'!E33</f>
        <v>945 Taraval Street</v>
      </c>
      <c r="D20" s="5" t="str">
        <f>'Complete List_09252026'!F33</f>
        <v>San Francisco</v>
      </c>
      <c r="E20" s="5" t="str">
        <f>'Complete List_09252026'!G33</f>
        <v>CA</v>
      </c>
      <c r="F20" s="5">
        <f>'Complete List_09252026'!H33</f>
        <v>94116</v>
      </c>
      <c r="G20" s="5" t="str">
        <f>'Complete List_09252026'!J33</f>
        <v>info@betterhousingpolicies.org</v>
      </c>
      <c r="H20" s="5" t="str">
        <f>'Complete List_09252026'!K33</f>
        <v>Electronic</v>
      </c>
      <c r="I20" s="5" t="str">
        <f>'Complete List_09252026'!L33</f>
        <v>Excelsior, Outer Richmond, Outer Sunset, Parkside, Visitacion Valley</v>
      </c>
    </row>
    <row r="21" spans="1:9" ht="26.45" customHeight="1" x14ac:dyDescent="0.25">
      <c r="A21" s="5" t="str">
        <f>'Complete List_09252026'!D157</f>
        <v>Lincoln Manor Neighborhood Association</v>
      </c>
      <c r="B21" s="5" t="str">
        <f>'Complete List_09252026'!C157</f>
        <v>Christina Shih</v>
      </c>
      <c r="C21" s="5" t="str">
        <f>'Complete List_09252026'!E157</f>
        <v>548 Market Street #85399</v>
      </c>
      <c r="D21" s="5" t="str">
        <f>'Complete List_09252026'!F157</f>
        <v>San Francisco</v>
      </c>
      <c r="E21" s="5" t="str">
        <f>'Complete List_09252026'!G157</f>
        <v>CA</v>
      </c>
      <c r="F21" s="5">
        <f>'Complete List_09252026'!H157</f>
        <v>94104</v>
      </c>
      <c r="G21" s="5" t="str">
        <f>'Complete List_09252026'!J157</f>
        <v>lincolnmanorsf@gmail.com</v>
      </c>
      <c r="H21" s="5" t="str">
        <f>'Complete List_09252026'!K157</f>
        <v>Electronic</v>
      </c>
      <c r="I21" s="5" t="str">
        <f>'Complete List_09252026'!L157</f>
        <v>Outer Richmond</v>
      </c>
    </row>
    <row r="22" spans="1:9" ht="26.45" customHeight="1" x14ac:dyDescent="0.25">
      <c r="A22" s="5" t="str">
        <f>'Complete List_09252026'!D116</f>
        <v>Greater Geary Blvd Merchants and Property Owners Association, Inc</v>
      </c>
      <c r="B22" s="5" t="str">
        <f>'Complete List_09252026'!C116</f>
        <v>David Heller</v>
      </c>
      <c r="C22" s="5" t="str">
        <f>'Complete List_09252026'!E116</f>
        <v>P.O. Box 210747</v>
      </c>
      <c r="D22" s="5" t="str">
        <f>'Complete List_09252026'!F116</f>
        <v>San Francisco</v>
      </c>
      <c r="E22" s="5" t="str">
        <f>'Complete List_09252026'!G116</f>
        <v>CA</v>
      </c>
      <c r="F22" s="5">
        <f>'Complete List_09252026'!H116</f>
        <v>94121</v>
      </c>
      <c r="G22" s="5" t="str">
        <f>'Complete List_09252026'!J116</f>
        <v>info@gearyblvd.org</v>
      </c>
      <c r="H22" s="5" t="str">
        <f>'Complete List_09252026'!K116</f>
        <v>Electronic</v>
      </c>
      <c r="I22" s="5" t="str">
        <f>'Complete List_09252026'!L116</f>
        <v>Outer Richmond</v>
      </c>
    </row>
  </sheetData>
  <autoFilter ref="A1:I1" xr:uid="{00000000-0009-0000-0000-000018000000}">
    <sortState xmlns:xlrd2="http://schemas.microsoft.com/office/spreadsheetml/2017/richdata2" ref="A2:I16">
      <sortCondition descending="1" ref="H1"/>
    </sortState>
  </autoFilter>
  <mergeCells count="3">
    <mergeCell ref="A9:I9"/>
    <mergeCell ref="A2:I2"/>
    <mergeCell ref="A11:I11"/>
  </mergeCells>
  <pageMargins left="0.7" right="0.7" top="0.75" bottom="0.75" header="0.3" footer="0.3"/>
  <pageSetup scale="52" orientation="landscape"/>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J23"/>
  <sheetViews>
    <sheetView topLeftCell="A15" zoomScale="75" zoomScaleNormal="75" zoomScalePageLayoutView="75" workbookViewId="0">
      <selection activeCell="I23" sqref="I23"/>
    </sheetView>
  </sheetViews>
  <sheetFormatPr defaultColWidth="8.85546875" defaultRowHeight="14.25" x14ac:dyDescent="0.25"/>
  <cols>
    <col min="1" max="1" width="31" style="6" customWidth="1"/>
    <col min="2" max="2" width="25.140625" style="6" customWidth="1"/>
    <col min="3" max="3" width="28.140625" style="6" customWidth="1"/>
    <col min="4" max="4" width="15.140625" style="6" customWidth="1"/>
    <col min="5" max="5" width="7.42578125" style="6" customWidth="1"/>
    <col min="6" max="6" width="9.7109375" style="13" customWidth="1"/>
    <col min="7" max="7" width="28.7109375" style="6" customWidth="1"/>
    <col min="8" max="8" width="35" style="6" customWidth="1"/>
    <col min="9" max="9" width="45.140625" style="6" customWidth="1"/>
    <col min="10" max="10" width="8.85546875" style="6" customWidth="1"/>
    <col min="11" max="16384" width="8.85546875" style="6"/>
  </cols>
  <sheetData>
    <row r="1" spans="1:10" s="4" customFormat="1" ht="18" customHeight="1" x14ac:dyDescent="0.25">
      <c r="A1" s="4" t="s">
        <v>3</v>
      </c>
      <c r="B1" s="4" t="str">
        <f>'Complete List_09252026'!C1</f>
        <v>NAME</v>
      </c>
      <c r="C1" s="4" t="str">
        <f>'Complete List_09252026'!E1</f>
        <v>ADDRESS</v>
      </c>
      <c r="D1" s="4" t="str">
        <f>'Complete List_09252026'!F1</f>
        <v>CITY</v>
      </c>
      <c r="E1" s="4" t="str">
        <f>'Complete List_09252026'!G1</f>
        <v>STATE</v>
      </c>
      <c r="F1" s="10" t="str">
        <f>'Complete List_09252026'!H1</f>
        <v>ZIP</v>
      </c>
      <c r="G1" s="4" t="str">
        <f>'Complete List_09252026'!J1</f>
        <v>EMAIL</v>
      </c>
      <c r="H1" s="4" t="s">
        <v>10</v>
      </c>
      <c r="I1" s="4" t="str">
        <f>'Complete List_09252026'!L1</f>
        <v>NEIGHBORHOOD OF INTEREST</v>
      </c>
    </row>
    <row r="2" spans="1:10" s="26" customFormat="1" ht="18" customHeight="1" x14ac:dyDescent="0.25">
      <c r="A2" s="71" t="s">
        <v>1835</v>
      </c>
      <c r="B2" s="69"/>
      <c r="C2" s="69"/>
      <c r="D2" s="69"/>
      <c r="E2" s="69"/>
      <c r="F2" s="69"/>
      <c r="G2" s="69"/>
      <c r="H2" s="69"/>
      <c r="I2" s="69"/>
      <c r="J2" s="28"/>
    </row>
    <row r="3" spans="1:10" s="14" customFormat="1" ht="39.6" customHeight="1" x14ac:dyDescent="0.25">
      <c r="A3" s="14" t="str">
        <f>'Complete List_09252026'!D132</f>
        <v>Housing Rights Committee of San Francisco</v>
      </c>
      <c r="B3" s="14" t="str">
        <f>'Complete List_09252026'!C132</f>
        <v>Sarah Sherburn-Zimmer</v>
      </c>
      <c r="C3" s="14" t="str">
        <f>'Complete List_09252026'!E132</f>
        <v>1663 Mission Street, Suite 504</v>
      </c>
      <c r="D3" s="14" t="str">
        <f>'Complete List_09252026'!F132</f>
        <v>San Francisco</v>
      </c>
      <c r="E3" s="14" t="str">
        <f>'Complete List_09252026'!G132</f>
        <v>CA</v>
      </c>
      <c r="F3" s="14">
        <f>'Complete List_09252026'!H132</f>
        <v>94103</v>
      </c>
      <c r="G3" s="14" t="str">
        <f>'Complete List_09252026'!J132</f>
        <v>fred@hrcsf.org</v>
      </c>
      <c r="H3" s="14" t="str">
        <f>'Complete List_09252026'!K132</f>
        <v>Physical</v>
      </c>
      <c r="I3" s="14" t="str">
        <f>'Complete List_09252026'!L132</f>
        <v>Golden Gate Park, Inner Richmond, Inner Sunset, Lakeshore, Outer Richmond, Outer Sunset, Parkside, West of Twin Peaks</v>
      </c>
    </row>
    <row r="4" spans="1:10" s="14" customFormat="1" ht="26.45" customHeight="1" x14ac:dyDescent="0.25">
      <c r="A4" s="14" t="str">
        <f>'Complete List_09252026'!D179</f>
        <v>Mid-Sunset Neighborhood Association</v>
      </c>
      <c r="B4" s="14" t="str">
        <f>'Complete List_09252026'!C179</f>
        <v>Flo Kimmerling</v>
      </c>
      <c r="C4" s="14" t="str">
        <f>'Complete List_09252026'!E179</f>
        <v>1282 26th Avenue</v>
      </c>
      <c r="D4" s="14" t="str">
        <f>'Complete List_09252026'!F179</f>
        <v>San Francisco</v>
      </c>
      <c r="E4" s="14" t="str">
        <f>'Complete List_09252026'!G179</f>
        <v>CA</v>
      </c>
      <c r="F4" s="14" t="str">
        <f>'Complete List_09252026'!H179</f>
        <v>94122</v>
      </c>
      <c r="G4" s="14" t="str">
        <f>'Complete List_09252026'!J179</f>
        <v>geokimm@sbcglobal.net</v>
      </c>
      <c r="H4" s="14" t="str">
        <f>'Complete List_09252026'!K179</f>
        <v>Physical</v>
      </c>
      <c r="I4" s="14" t="str">
        <f>'Complete List_09252026'!L179</f>
        <v>Outer Sunset</v>
      </c>
    </row>
    <row r="5" spans="1:10" s="14" customFormat="1" ht="26.45" customHeight="1" x14ac:dyDescent="0.25">
      <c r="A5" s="14" t="str">
        <f>'Complete List_09252026'!D223</f>
        <v>Outer Sunset/Parkside Residents Association (OSPRA)</v>
      </c>
      <c r="B5" s="14" t="str">
        <f>'Complete List_09252026'!C223</f>
        <v>Susan Pfeifer</v>
      </c>
      <c r="C5" s="14" t="str">
        <f>'Complete List_09252026'!E223</f>
        <v>1846 Great Highway</v>
      </c>
      <c r="D5" s="14" t="str">
        <f>'Complete List_09252026'!F223</f>
        <v>San Francisco</v>
      </c>
      <c r="E5" s="14" t="str">
        <f>'Complete List_09252026'!G223</f>
        <v>CA</v>
      </c>
      <c r="F5" s="14">
        <f>'Complete List_09252026'!H223</f>
        <v>94122</v>
      </c>
      <c r="G5" s="14" t="str">
        <f>'Complete List_09252026'!J223</f>
        <v>mediasusan2@gmail.com</v>
      </c>
      <c r="H5" s="14" t="str">
        <f>'Complete List_09252026'!K223</f>
        <v>Physical</v>
      </c>
      <c r="I5" s="14" t="str">
        <f>'Complete List_09252026'!L223</f>
        <v>Outer Susnet, Parkside</v>
      </c>
    </row>
    <row r="6" spans="1:10" s="14" customFormat="1" ht="13.15" customHeight="1" x14ac:dyDescent="0.25">
      <c r="A6" s="14" t="str">
        <f>'Complete List_09252026'!D224</f>
        <v>Outlands Planning Council</v>
      </c>
      <c r="B6" s="14" t="str">
        <f>'Complete List_09252026'!C224</f>
        <v>Doug Bird</v>
      </c>
      <c r="C6" s="14" t="str">
        <f>'Complete List_09252026'!E224</f>
        <v>1511 44th Avenue</v>
      </c>
      <c r="D6" s="14" t="str">
        <f>'Complete List_09252026'!F224</f>
        <v>San Franicsco</v>
      </c>
      <c r="E6" s="14" t="str">
        <f>'Complete List_09252026'!G224</f>
        <v>CA</v>
      </c>
      <c r="F6" s="14">
        <f>'Complete List_09252026'!H224</f>
        <v>94122</v>
      </c>
      <c r="G6" s="14" t="str">
        <f>'Complete List_09252026'!J224</f>
        <v>outlands.planning@gmail.com</v>
      </c>
      <c r="H6" s="14" t="str">
        <f>'Complete List_09252026'!K224</f>
        <v>Physical</v>
      </c>
      <c r="I6" s="14" t="str">
        <f>'Complete List_09252026'!L224</f>
        <v>Outer Richmond, Outer Sunset, Parkside</v>
      </c>
    </row>
    <row r="7" spans="1:10" s="14" customFormat="1" ht="79.150000000000006" customHeight="1" x14ac:dyDescent="0.25">
      <c r="A7" s="14" t="str">
        <f>'Complete List_09252026'!D261</f>
        <v>Sherwin Williams</v>
      </c>
      <c r="B7" s="14" t="str">
        <f>'Complete List_09252026'!C261</f>
        <v>Francesca Panullo</v>
      </c>
      <c r="C7" s="14" t="str">
        <f>'Complete List_09252026'!E261</f>
        <v>1415 Ocean Ave</v>
      </c>
      <c r="D7" s="14" t="str">
        <f>'Complete List_09252026'!F261</f>
        <v>San Francisco</v>
      </c>
      <c r="E7" s="14" t="str">
        <f>'Complete List_09252026'!G261</f>
        <v>CA</v>
      </c>
      <c r="F7" s="14">
        <f>'Complete List_09252026'!H261</f>
        <v>94112</v>
      </c>
      <c r="G7" s="14" t="str">
        <f>'Complete List_09252026'!J261</f>
        <v>sw8644@sherwin.com</v>
      </c>
      <c r="H7" s="14" t="str">
        <f>'Complete List_09252026'!K261</f>
        <v>Physical</v>
      </c>
      <c r="I7" s="14" t="str">
        <f>'Complete List_09252026'!L261</f>
        <v>Bayview, Bernal Heights, Crocker Amazon, Diamond Heights, Excelsior, Glen Park, Inner Sunset, Lakeshore, Noe Valley, Ocean View, Outer Mission, Outer Sunset, Parkside, Potrero Hill, South Bayshore, Twin Peaks, Visitacion Valley, West of Twin Peaks</v>
      </c>
    </row>
    <row r="8" spans="1:10" s="14" customFormat="1" ht="26.45" customHeight="1" x14ac:dyDescent="0.25">
      <c r="A8" s="14" t="str">
        <f>'Complete List_09252026'!D273</f>
        <v>SPEAK (Sunset-Parkside Education and Action Committee)</v>
      </c>
      <c r="B8" s="14" t="str">
        <f>'Complete List_09252026'!C273</f>
        <v>Eileen Boken</v>
      </c>
      <c r="C8" s="14" t="str">
        <f>'Complete List_09252026'!E273</f>
        <v>1329 7th Ave</v>
      </c>
      <c r="D8" s="14" t="str">
        <f>'Complete List_09252026'!F273</f>
        <v>San Francisco</v>
      </c>
      <c r="E8" s="14" t="str">
        <f>'Complete List_09252026'!G273</f>
        <v>CA</v>
      </c>
      <c r="F8" s="14" t="str">
        <f>'Complete List_09252026'!H273</f>
        <v>94122</v>
      </c>
      <c r="G8" s="14" t="str">
        <f>'Complete List_09252026'!J273</f>
        <v>speaksanfrancisco@yahoo.com</v>
      </c>
      <c r="H8" s="14" t="str">
        <f>'Complete List_09252026'!K273</f>
        <v>Physical</v>
      </c>
      <c r="I8" s="14" t="str">
        <f>'Complete List_09252026'!L273</f>
        <v>Inner Sunset, Outer Sunset, Parkside</v>
      </c>
    </row>
    <row r="9" spans="1:10" s="14" customFormat="1" ht="17.45" customHeight="1" x14ac:dyDescent="0.25">
      <c r="A9" s="68" t="s">
        <v>1836</v>
      </c>
      <c r="B9" s="72"/>
      <c r="C9" s="72"/>
      <c r="D9" s="72"/>
      <c r="E9" s="72"/>
      <c r="F9" s="72"/>
      <c r="G9" s="72"/>
      <c r="H9" s="72"/>
      <c r="I9" s="72"/>
    </row>
    <row r="10" spans="1:10" s="14" customFormat="1" ht="66" customHeight="1" x14ac:dyDescent="0.25">
      <c r="A10" s="14" t="str">
        <f>'Complete List_09252026'!D42</f>
        <v>Board of Supervisors</v>
      </c>
      <c r="B10" s="14" t="str">
        <f>'Complete List_09252026'!C42</f>
        <v>Alan Wong</v>
      </c>
      <c r="C10" s="14" t="str">
        <f>'Complete List_09252026'!E42</f>
        <v>1 Dr. Carlton B Goodlett Place, Room #244</v>
      </c>
      <c r="D10" s="14" t="str">
        <f>'Complete List_09252026'!F42</f>
        <v>San Francisco</v>
      </c>
      <c r="E10" s="14" t="str">
        <f>'Complete List_09252026'!G42</f>
        <v>CA</v>
      </c>
      <c r="F10" s="14" t="str">
        <f>'Complete List_09252026'!H42</f>
        <v>94102-4689</v>
      </c>
      <c r="G10" s="14" t="str">
        <f>'Complete List_09252026'!J42</f>
        <v>Tiff.Lee@sfgov.org;
Jessica.Cen@sfgov.org;
Andrew.Sinn@sfgov.org;
Derek.Lee@sfgov.org;
WongStaff@sfgov.org</v>
      </c>
      <c r="H10" s="14" t="str">
        <f>'Complete List_09252026'!K42</f>
        <v>Both</v>
      </c>
      <c r="I10" s="14" t="str">
        <f>'Complete List_09252026'!L42</f>
        <v>Lakeshore, Outer Sunset, Parkside</v>
      </c>
    </row>
    <row r="11" spans="1:10" s="26" customFormat="1" ht="18" customHeight="1" x14ac:dyDescent="0.25">
      <c r="A11" s="70" t="s">
        <v>1842</v>
      </c>
      <c r="B11" s="69"/>
      <c r="C11" s="69"/>
      <c r="D11" s="69"/>
      <c r="E11" s="69"/>
      <c r="F11" s="69"/>
      <c r="G11" s="69"/>
      <c r="H11" s="69"/>
      <c r="I11" s="69"/>
      <c r="J11" s="29"/>
    </row>
    <row r="12" spans="1:10" s="14" customFormat="1" ht="27.6" customHeight="1" x14ac:dyDescent="0.25">
      <c r="A12" s="47" t="str">
        <f>'Complete List_09252026'!D311</f>
        <v>Westside = best side!</v>
      </c>
      <c r="B12" s="47" t="str">
        <f>'Complete List_09252026'!C311</f>
        <v>Maelig Morvan</v>
      </c>
      <c r="C12" s="47" t="str">
        <f>'Complete List_09252026'!E311</f>
        <v>1444 48th Avenue</v>
      </c>
      <c r="D12" s="47" t="str">
        <f>'Complete List_09252026'!F311</f>
        <v>San Francisco</v>
      </c>
      <c r="E12" s="47" t="str">
        <f>'Complete List_09252026'!G311</f>
        <v>CA</v>
      </c>
      <c r="F12" s="47">
        <f>'Complete List_09252026'!H311</f>
        <v>94122</v>
      </c>
      <c r="G12" s="47" t="str">
        <f>'Complete List_09252026'!J311</f>
        <v>westsidebestsidesf@gmail.com</v>
      </c>
      <c r="H12" s="47" t="str">
        <f>'Complete List_09252026'!K311</f>
        <v>Electronic</v>
      </c>
      <c r="I12" s="47" t="str">
        <f>'Complete List_09252026'!L311</f>
        <v>Inner Sunset, Lakeshore, Outer Sunset, Parkside, West of Twin Peaks</v>
      </c>
    </row>
    <row r="13" spans="1:10" s="14" customFormat="1" x14ac:dyDescent="0.25">
      <c r="A13" s="47" t="str">
        <f>'Complete List_09252026'!D78</f>
        <v>D4ward</v>
      </c>
      <c r="B13" s="47" t="str">
        <f>'Complete List_09252026'!C78</f>
        <v>Erica Zweig</v>
      </c>
      <c r="C13" s="47" t="str">
        <f>'Complete List_09252026'!E78</f>
        <v>3832 Judah St</v>
      </c>
      <c r="D13" s="47" t="str">
        <f>'Complete List_09252026'!F78</f>
        <v>San Francisco</v>
      </c>
      <c r="E13" s="47" t="str">
        <f>'Complete List_09252026'!G78</f>
        <v>CA</v>
      </c>
      <c r="F13" s="47">
        <f>'Complete List_09252026'!H78</f>
        <v>94122</v>
      </c>
      <c r="G13" s="47" t="str">
        <f>'Complete List_09252026'!J78</f>
        <v>D4ward.info@gmail.com</v>
      </c>
      <c r="H13" s="47" t="str">
        <f>'Complete List_09252026'!K78</f>
        <v>Electronic</v>
      </c>
      <c r="I13" s="47" t="str">
        <f>'Complete List_09252026'!L78</f>
        <v>Outer Sunset</v>
      </c>
    </row>
    <row r="14" spans="1:10" s="14" customFormat="1" ht="27.6" customHeight="1" x14ac:dyDescent="0.25">
      <c r="A14" s="47" t="str">
        <f>'Complete List_09252026'!D275</f>
        <v>Saint Ignatius Neighbrhood Association</v>
      </c>
      <c r="B14" s="47" t="str">
        <f>'Complete List_09252026'!C275</f>
        <v>Deborah Fischer-Brown</v>
      </c>
      <c r="C14" s="47" t="str">
        <f>'Complete List_09252026'!E275</f>
        <v>2151 39th Ave</v>
      </c>
      <c r="D14" s="47" t="str">
        <f>'Complete List_09252026'!F275</f>
        <v>San Francisco</v>
      </c>
      <c r="E14" s="47" t="str">
        <f>'Complete List_09252026'!G275</f>
        <v>CA</v>
      </c>
      <c r="F14" s="47">
        <f>'Complete List_09252026'!H275</f>
        <v>94116</v>
      </c>
      <c r="G14" s="47" t="str">
        <f>'Complete List_09252026'!J275</f>
        <v>sisunsetneighbors@hotmail.com</v>
      </c>
      <c r="H14" s="47" t="str">
        <f>'Complete List_09252026'!K275</f>
        <v>Electronic</v>
      </c>
      <c r="I14" s="47" t="str">
        <f>'Complete List_09252026'!L275</f>
        <v>Outer Sunset, Parkside</v>
      </c>
    </row>
    <row r="15" spans="1:10" s="14" customFormat="1" ht="27.6" customHeight="1" x14ac:dyDescent="0.25">
      <c r="A15" s="47" t="str">
        <f>'Complete List_09252026'!D247</f>
        <v>Self-Help for the Elderly</v>
      </c>
      <c r="B15" s="47" t="str">
        <f>'Complete List_09252026'!C247</f>
        <v>Anni Chung</v>
      </c>
      <c r="C15" s="47" t="str">
        <f>'Complete List_09252026'!E247</f>
        <v>731 Sansome Street, Suite 1000</v>
      </c>
      <c r="D15" s="47" t="str">
        <f>'Complete List_09252026'!F247</f>
        <v>San Francisco</v>
      </c>
      <c r="E15" s="47" t="str">
        <f>'Complete List_09252026'!G247</f>
        <v>CA</v>
      </c>
      <c r="F15" s="47" t="str">
        <f>'Complete List_09252026'!H247</f>
        <v>94111</v>
      </c>
      <c r="G15" s="47" t="str">
        <f>'Complete List_09252026'!J247</f>
        <v>annic@selfhelpelderly.org</v>
      </c>
      <c r="H15" s="47" t="str">
        <f>'Complete List_09252026'!K247</f>
        <v>Electronic</v>
      </c>
      <c r="I15" s="47" t="str">
        <f>'Complete List_09252026'!L247</f>
        <v>Chinatown, Inner Richmond, Inner Sunset, Outer Richmond, Outer Sunset</v>
      </c>
    </row>
    <row r="16" spans="1:10" s="5" customFormat="1" ht="27.6" customHeight="1" x14ac:dyDescent="0.25">
      <c r="A16" s="48" t="str">
        <f>'Complete List_09252026'!D312</f>
        <v>Westside Community Coalition</v>
      </c>
      <c r="B16" s="48" t="str">
        <f>'Complete List_09252026'!C312</f>
        <v>Joseph Smooke</v>
      </c>
      <c r="C16" s="48" t="str">
        <f>'Complete List_09252026'!E312</f>
        <v>366 10th Ave</v>
      </c>
      <c r="D16" s="48" t="str">
        <f>'Complete List_09252026'!F312</f>
        <v>San Francisco</v>
      </c>
      <c r="E16" s="48" t="str">
        <f>'Complete List_09252026'!G312</f>
        <v>CA</v>
      </c>
      <c r="F16" s="48">
        <f>'Complete List_09252026'!H312</f>
        <v>94118</v>
      </c>
      <c r="G16" s="48" t="str">
        <f>'Complete List_09252026'!J312</f>
        <v>joseph_smooke@yahoo.com</v>
      </c>
      <c r="H16" s="48" t="str">
        <f>'Complete List_09252026'!K312</f>
        <v>Electronic</v>
      </c>
      <c r="I16" s="48" t="str">
        <f>'Complete List_09252026'!L312</f>
        <v>Inner Richmond, Inner Sunset, Lakeshore, Outer Richmond, Outer Sunset, Parkside</v>
      </c>
    </row>
    <row r="17" spans="1:9" ht="27.6" customHeight="1" x14ac:dyDescent="0.25">
      <c r="A17" s="48" t="str">
        <f>'Complete List_09252026'!D219</f>
        <v>Open the Great Highway Alliance</v>
      </c>
      <c r="B17" s="48" t="str">
        <f>'Complete List_09252026'!C219</f>
        <v>Stephen Groski</v>
      </c>
      <c r="C17" s="48" t="str">
        <f>'Complete List_09252026'!E219</f>
        <v>2366 48th Avenue</v>
      </c>
      <c r="D17" s="48" t="str">
        <f>'Complete List_09252026'!F219</f>
        <v>San Francisco</v>
      </c>
      <c r="E17" s="48" t="str">
        <f>'Complete List_09252026'!G219</f>
        <v>CA</v>
      </c>
      <c r="F17" s="48">
        <f>'Complete List_09252026'!H219</f>
        <v>94116</v>
      </c>
      <c r="G17" s="48" t="str">
        <f>'Complete List_09252026'!J219</f>
        <v>sjgorskilaw@gmail.com</v>
      </c>
      <c r="H17" s="48" t="str">
        <f>'Complete List_09252026'!K219</f>
        <v>Electronic</v>
      </c>
      <c r="I17" s="48" t="str">
        <f>'Complete List_09252026'!L219</f>
        <v>Outer Sunset, Parkside</v>
      </c>
    </row>
    <row r="18" spans="1:9" x14ac:dyDescent="0.25">
      <c r="A18" s="48" t="str">
        <f>'Complete List_09252026'!D280</f>
        <v>Sunset Community Garden</v>
      </c>
      <c r="B18" s="48" t="str">
        <f>'Complete List_09252026'!C280</f>
        <v>Lance Mellon</v>
      </c>
      <c r="C18" s="48" t="str">
        <f>'Complete List_09252026'!E280</f>
        <v>643 Hamilton Street</v>
      </c>
      <c r="D18" s="48" t="str">
        <f>'Complete List_09252026'!F280</f>
        <v>San Francisco</v>
      </c>
      <c r="E18" s="48" t="str">
        <f>'Complete List_09252026'!G280</f>
        <v>CA</v>
      </c>
      <c r="F18" s="48">
        <f>'Complete List_09252026'!H280</f>
        <v>94134</v>
      </c>
      <c r="G18" s="48" t="str">
        <f>'Complete List_09252026'!J280</f>
        <v>lancemellon@hotmail.com</v>
      </c>
      <c r="H18" s="48" t="str">
        <f>'Complete List_09252026'!K280</f>
        <v>Electronic</v>
      </c>
      <c r="I18" s="48" t="str">
        <f>'Complete List_09252026'!L280</f>
        <v>Outer Sunset</v>
      </c>
    </row>
    <row r="19" spans="1:9" ht="27.6" customHeight="1" x14ac:dyDescent="0.25">
      <c r="A19" s="6" t="str">
        <f>'Complete List_09252026'!D72</f>
        <v>Concerned Residents of the Sunset</v>
      </c>
      <c r="B19" s="6" t="str">
        <f>'Complete List_09252026'!C72</f>
        <v>Judi Gorski</v>
      </c>
      <c r="C19" s="6" t="str">
        <f>'Complete List_09252026'!E72</f>
        <v>2366 48th Avenue</v>
      </c>
      <c r="D19" s="6" t="str">
        <f>'Complete List_09252026'!F72</f>
        <v>San Francisco</v>
      </c>
      <c r="E19" s="6" t="str">
        <f>'Complete List_09252026'!G72</f>
        <v>CA</v>
      </c>
      <c r="F19" s="6">
        <f>'Complete List_09252026'!H72</f>
        <v>94116</v>
      </c>
      <c r="G19" s="6" t="str">
        <f>'Complete List_09252026'!J72</f>
        <v>judigorski@gmail.com</v>
      </c>
      <c r="H19" s="6" t="str">
        <f>'Complete List_09252026'!K72</f>
        <v>Electronic</v>
      </c>
      <c r="I19" s="6" t="str">
        <f>'Complete List_09252026'!L72</f>
        <v>Outer Sunset</v>
      </c>
    </row>
    <row r="20" spans="1:9" s="5" customFormat="1" ht="26.45" customHeight="1" x14ac:dyDescent="0.25">
      <c r="A20" s="5" t="str">
        <f>'Complete List_09252026'!D33</f>
        <v>Better Housing Policies</v>
      </c>
      <c r="B20" s="5" t="str">
        <f>'Complete List_09252026'!C33</f>
        <v>Josephine Zhao</v>
      </c>
      <c r="C20" s="5" t="str">
        <f>'Complete List_09252026'!E33</f>
        <v>945 Taraval Street</v>
      </c>
      <c r="D20" s="5" t="str">
        <f>'Complete List_09252026'!F33</f>
        <v>San Francisco</v>
      </c>
      <c r="E20" s="5" t="str">
        <f>'Complete List_09252026'!G33</f>
        <v>CA</v>
      </c>
      <c r="F20" s="5">
        <f>'Complete List_09252026'!H33</f>
        <v>94116</v>
      </c>
      <c r="G20" s="5" t="str">
        <f>'Complete List_09252026'!J33</f>
        <v>info@betterhousingpolicies.org</v>
      </c>
      <c r="H20" s="5" t="str">
        <f>'Complete List_09252026'!K33</f>
        <v>Electronic</v>
      </c>
      <c r="I20" s="5" t="str">
        <f>'Complete List_09252026'!L33</f>
        <v>Excelsior, Outer Richmond, Outer Sunset, Parkside, Visitacion Valley</v>
      </c>
    </row>
    <row r="21" spans="1:9" ht="28.5" x14ac:dyDescent="0.25">
      <c r="A21" s="6" t="str">
        <f>'Complete List_09252026'!D282</f>
        <v>Sunset Small Business Network</v>
      </c>
      <c r="B21" s="6" t="str">
        <f>'Complete List_09252026'!C282</f>
        <v>Poppy Gilman</v>
      </c>
      <c r="C21" s="6" t="str">
        <f>'Complete List_09252026'!E282</f>
        <v>2309 Noriega Street</v>
      </c>
      <c r="D21" s="6" t="str">
        <f>'Complete List_09252026'!F282</f>
        <v>San Francisco</v>
      </c>
      <c r="E21" s="6" t="str">
        <f>'Complete List_09252026'!G282</f>
        <v>CA</v>
      </c>
      <c r="F21" s="13">
        <f>'Complete List_09252026'!H282</f>
        <v>94122</v>
      </c>
      <c r="G21" s="6" t="str">
        <f>'Complete List_09252026'!J282</f>
        <v>poppy.noriegast@gmail.com</v>
      </c>
      <c r="H21" s="6" t="str">
        <f>'Complete List_09252026'!K282</f>
        <v>Electronic</v>
      </c>
      <c r="I21" s="6" t="str">
        <f>'Complete List_09252026'!L282</f>
        <v>Inner Sunset, Outer Sunset, Parkside</v>
      </c>
    </row>
    <row r="22" spans="1:9" x14ac:dyDescent="0.25">
      <c r="A22" s="6" t="str">
        <f>'Complete List_09252026'!D222</f>
        <v>Outer Sunset Neighbors</v>
      </c>
      <c r="B22" s="6" t="str">
        <f>'Complete List_09252026'!C222</f>
        <v>Alice Duesdieker</v>
      </c>
      <c r="C22" s="6" t="str">
        <f>'Complete List_09252026'!E222</f>
        <v>2309 Noriega Street #75</v>
      </c>
      <c r="D22" s="6" t="str">
        <f>'Complete List_09252026'!F222</f>
        <v>San Francisco</v>
      </c>
      <c r="E22" s="6" t="str">
        <f>'Complete List_09252026'!G222</f>
        <v>CA</v>
      </c>
      <c r="F22" s="13">
        <f>'Complete List_09252026'!H222</f>
        <v>94122</v>
      </c>
      <c r="G22" s="6" t="str">
        <f>'Complete List_09252026'!J222</f>
        <v>hello@sunsetneighbors.org</v>
      </c>
      <c r="H22" s="6" t="str">
        <f>'Complete List_09252026'!K222</f>
        <v>Electronic</v>
      </c>
      <c r="I22" s="6" t="str">
        <f>'Complete List_09252026'!L222</f>
        <v>Outer Sunset, Parkside</v>
      </c>
    </row>
    <row r="23" spans="1:9" x14ac:dyDescent="0.25">
      <c r="A23" s="6" t="str">
        <f>'Complete List_09252026'!D110</f>
        <v>Friends of Sunset Dunes</v>
      </c>
      <c r="B23" s="6" t="str">
        <f>'Complete List_09252026'!C110</f>
        <v>Lucas Lux</v>
      </c>
      <c r="C23" s="6" t="str">
        <f>'Complete List_09252026'!E110</f>
        <v>2309 Noriega Street #55</v>
      </c>
      <c r="D23" s="6" t="str">
        <f>'Complete List_09252026'!F110</f>
        <v>San Francisco</v>
      </c>
      <c r="E23" s="6" t="str">
        <f>'Complete List_09252026'!G110</f>
        <v>CA</v>
      </c>
      <c r="F23" s="6">
        <f>'Complete List_09252026'!H110</f>
        <v>94122</v>
      </c>
      <c r="G23" s="6" t="str">
        <f>'Complete List_09252026'!J110</f>
        <v>hello@sunsetdunes.org</v>
      </c>
      <c r="H23" s="6" t="str">
        <f>'Complete List_09252026'!K110</f>
        <v>Electronic</v>
      </c>
      <c r="I23" s="6" t="str">
        <f>'Complete List_09252026'!L110</f>
        <v>Outer Sunset, Parkside</v>
      </c>
    </row>
  </sheetData>
  <autoFilter ref="A1:I1" xr:uid="{00000000-0009-0000-0000-000019000000}">
    <sortState xmlns:xlrd2="http://schemas.microsoft.com/office/spreadsheetml/2017/richdata2" ref="A2:I12">
      <sortCondition descending="1" ref="H1"/>
    </sortState>
  </autoFilter>
  <mergeCells count="3">
    <mergeCell ref="A9:I9"/>
    <mergeCell ref="A2:I2"/>
    <mergeCell ref="A11:I11"/>
  </mergeCells>
  <pageMargins left="0.7" right="0.7" top="0.75" bottom="0.75" header="0.3" footer="0.3"/>
  <pageSetup scale="52" orientation="landscape"/>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J18"/>
  <sheetViews>
    <sheetView zoomScale="75" zoomScaleNormal="75" zoomScalePageLayoutView="75" workbookViewId="0">
      <selection activeCell="A8" sqref="A8:XFD8"/>
    </sheetView>
  </sheetViews>
  <sheetFormatPr defaultColWidth="8.85546875" defaultRowHeight="12.75" x14ac:dyDescent="0.25"/>
  <cols>
    <col min="1" max="1" width="35" style="5" customWidth="1"/>
    <col min="2" max="2" width="18.7109375" style="5" customWidth="1"/>
    <col min="3" max="3" width="32" style="5" customWidth="1"/>
    <col min="4" max="4" width="15.42578125" style="5" customWidth="1"/>
    <col min="5" max="5" width="8.85546875" style="5" customWidth="1"/>
    <col min="6" max="6" width="8.85546875" style="8" customWidth="1"/>
    <col min="7" max="7" width="29.42578125" style="5" customWidth="1"/>
    <col min="8" max="8" width="34" style="5" customWidth="1"/>
    <col min="9" max="9" width="45.28515625" style="5" customWidth="1"/>
    <col min="10" max="10" width="8.85546875" style="5" customWidth="1"/>
    <col min="11" max="16384" width="8.85546875" style="5"/>
  </cols>
  <sheetData>
    <row r="1" spans="1:10" s="4" customFormat="1" ht="18" customHeight="1" x14ac:dyDescent="0.25">
      <c r="A1" s="4" t="s">
        <v>3</v>
      </c>
      <c r="B1" s="4" t="str">
        <f>'Complete List_09252026'!C1</f>
        <v>NAME</v>
      </c>
      <c r="C1" s="4" t="str">
        <f>'Complete List_09252026'!E1</f>
        <v>ADDRESS</v>
      </c>
      <c r="D1" s="4" t="str">
        <f>'Complete List_09252026'!F1</f>
        <v>CITY</v>
      </c>
      <c r="E1" s="4" t="str">
        <f>'Complete List_09252026'!G1</f>
        <v>STATE</v>
      </c>
      <c r="F1" s="10" t="str">
        <f>'Complete List_09252026'!H1</f>
        <v>ZIP</v>
      </c>
      <c r="G1" s="4" t="str">
        <f>'Complete List_09252026'!J1</f>
        <v>EMAIL</v>
      </c>
      <c r="H1" s="4" t="s">
        <v>10</v>
      </c>
      <c r="I1" s="4" t="str">
        <f>'Complete List_09252026'!L1</f>
        <v>NEIGHBORHOOD OF INTEREST</v>
      </c>
    </row>
    <row r="2" spans="1:10" s="26" customFormat="1" ht="18" customHeight="1" x14ac:dyDescent="0.25">
      <c r="A2" s="71" t="s">
        <v>1835</v>
      </c>
      <c r="B2" s="69"/>
      <c r="C2" s="69"/>
      <c r="D2" s="69"/>
      <c r="E2" s="69"/>
      <c r="F2" s="69"/>
      <c r="G2" s="69"/>
      <c r="H2" s="69"/>
      <c r="I2" s="69"/>
      <c r="J2" s="28"/>
    </row>
    <row r="3" spans="1:10" s="14" customFormat="1" x14ac:dyDescent="0.25">
      <c r="A3" s="14" t="str">
        <f>'Complete List_09252026'!D74</f>
        <v>Cow Hollow Association</v>
      </c>
      <c r="B3" s="14" t="str">
        <f>'Complete List_09252026'!C74</f>
        <v>Barbara Heffernan</v>
      </c>
      <c r="C3" s="14" t="str">
        <f>'Complete List_09252026'!E74</f>
        <v>2423 Green Street</v>
      </c>
      <c r="D3" s="14" t="str">
        <f>'Complete List_09252026'!F74</f>
        <v>San Francisco</v>
      </c>
      <c r="E3" s="14" t="str">
        <f>'Complete List_09252026'!G74</f>
        <v>CA</v>
      </c>
      <c r="F3" s="14" t="str">
        <f>'Complete List_09252026'!H74</f>
        <v>94123</v>
      </c>
      <c r="G3" s="14" t="str">
        <f>'Complete List_09252026'!J74</f>
        <v>bjhassoc@comcast.net</v>
      </c>
      <c r="H3" s="14" t="str">
        <f>'Complete List_09252026'!K74</f>
        <v>Physical</v>
      </c>
      <c r="I3" s="14" t="str">
        <f>'Complete List_09252026'!L74</f>
        <v>Marina, Pacific Heights</v>
      </c>
    </row>
    <row r="4" spans="1:10" s="14" customFormat="1" x14ac:dyDescent="0.25">
      <c r="A4" s="14" t="str">
        <f>'Complete List_09252026'!D75</f>
        <v>Cow Hollow Association</v>
      </c>
      <c r="B4" s="14" t="str">
        <f>'Complete List_09252026'!C75</f>
        <v>Anne  Bertrand</v>
      </c>
      <c r="C4" s="14" t="str">
        <f>'Complete List_09252026'!E75</f>
        <v>1592 Union Street #500</v>
      </c>
      <c r="D4" s="14" t="str">
        <f>'Complete List_09252026'!F75</f>
        <v>San Francisco</v>
      </c>
      <c r="E4" s="14" t="str">
        <f>'Complete List_09252026'!G75</f>
        <v>CA</v>
      </c>
      <c r="F4" s="14">
        <f>'Complete List_09252026'!H75</f>
        <v>94123</v>
      </c>
      <c r="G4" s="14" t="str">
        <f>'Complete List_09252026'!J75</f>
        <v>bossbien@aol.com </v>
      </c>
      <c r="H4" s="14" t="str">
        <f>'Complete List_09252026'!K75</f>
        <v>Physical</v>
      </c>
      <c r="I4" s="14" t="str">
        <f>'Complete List_09252026'!L75</f>
        <v>Marina, Pacific Heights</v>
      </c>
    </row>
    <row r="5" spans="1:10" s="14" customFormat="1" ht="39.6" customHeight="1" x14ac:dyDescent="0.25">
      <c r="A5" s="14" t="str">
        <f>'Complete List_09252026'!D129</f>
        <v>HERE Local 2</v>
      </c>
      <c r="B5" s="14" t="str">
        <f>'Complete List_09252026'!C129</f>
        <v>Ian Lewis</v>
      </c>
      <c r="C5" s="14" t="str">
        <f>'Complete List_09252026'!E129</f>
        <v>209 Golden Gate Avenue</v>
      </c>
      <c r="D5" s="14" t="str">
        <f>'Complete List_09252026'!F129</f>
        <v>San Francisco</v>
      </c>
      <c r="E5" s="14" t="str">
        <f>'Complete List_09252026'!G129</f>
        <v>CA</v>
      </c>
      <c r="F5" s="14" t="str">
        <f>'Complete List_09252026'!H129</f>
        <v>94102</v>
      </c>
      <c r="G5" s="14">
        <f>'Complete List_09252026'!J129</f>
        <v>0</v>
      </c>
      <c r="H5" s="14" t="str">
        <f>'Complete List_09252026'!K129</f>
        <v>Physical</v>
      </c>
      <c r="I5" s="14" t="str">
        <f>'Complete List_09252026'!L129</f>
        <v>Chinatown, Downtown/Civic Center, Marina, Mission, Nob Hill, North Beach, Pacific Heights, Presidio, South of Market</v>
      </c>
    </row>
    <row r="6" spans="1:10" s="14" customFormat="1" ht="26.45" customHeight="1" x14ac:dyDescent="0.25">
      <c r="A6" s="14" t="str">
        <f>'Complete List_09252026'!D166</f>
        <v>Marina/Cow Hollow Neighbors &amp; Merchants</v>
      </c>
      <c r="B6" s="14" t="str">
        <f>'Complete List_09252026'!C166</f>
        <v>Patricia Vaughey</v>
      </c>
      <c r="C6" s="14" t="str">
        <f>'Complete List_09252026'!E166</f>
        <v xml:space="preserve">2269 Chestnut Street #990 </v>
      </c>
      <c r="D6" s="14" t="str">
        <f>'Complete List_09252026'!F166</f>
        <v>San Francisco</v>
      </c>
      <c r="E6" s="14" t="str">
        <f>'Complete List_09252026'!G166</f>
        <v>CA</v>
      </c>
      <c r="F6" s="14" t="str">
        <f>'Complete List_09252026'!H166</f>
        <v>94123</v>
      </c>
      <c r="G6" s="14">
        <f>'Complete List_09252026'!J166</f>
        <v>0</v>
      </c>
      <c r="H6" s="14" t="str">
        <f>'Complete List_09252026'!K166</f>
        <v>Physical</v>
      </c>
      <c r="I6" s="14" t="str">
        <f>'Complete List_09252026'!L166</f>
        <v>Marina, Pacific Heights, Western Addition</v>
      </c>
    </row>
    <row r="7" spans="1:10" s="14" customFormat="1" ht="39.6" customHeight="1" x14ac:dyDescent="0.25">
      <c r="A7" s="14" t="str">
        <f>'Complete List_09252026'!D212</f>
        <v>Oak Grove Group</v>
      </c>
      <c r="B7" s="14" t="str">
        <f>'Complete List_09252026'!C212</f>
        <v>Billy Lee</v>
      </c>
      <c r="C7" s="14" t="str">
        <f>'Complete List_09252026'!E212</f>
        <v>2505 Oak Street</v>
      </c>
      <c r="D7" s="14" t="str">
        <f>'Complete List_09252026'!F212</f>
        <v>Napa</v>
      </c>
      <c r="E7" s="14" t="str">
        <f>'Complete List_09252026'!G212</f>
        <v>CA</v>
      </c>
      <c r="F7" s="14">
        <f>'Complete List_09252026'!H212</f>
        <v>94559</v>
      </c>
      <c r="G7" s="14" t="str">
        <f>'Complete List_09252026'!J212</f>
        <v>leeway_e@yahoo.com</v>
      </c>
      <c r="H7" s="14" t="str">
        <f>'Complete List_09252026'!K212</f>
        <v>Physical</v>
      </c>
      <c r="I7" s="14" t="str">
        <f>'Complete List_09252026'!L212</f>
        <v>Pacific Heights, Russian Hill, Marina, Nob Hill, Presidio, Presidio Heights, Sea Cliff, Noe Valley, Western Addition</v>
      </c>
    </row>
    <row r="8" spans="1:10" s="14" customFormat="1" ht="26.45" customHeight="1" x14ac:dyDescent="0.25">
      <c r="A8" s="14" t="str">
        <f>'Complete List_09252026'!D114</f>
        <v>Golden Gate Valley Neighborhood Association</v>
      </c>
      <c r="B8" s="14" t="str">
        <f>'Complete List_09252026'!C114</f>
        <v>Robert  Bardell</v>
      </c>
      <c r="C8" s="14" t="str">
        <f>'Complete List_09252026'!E114</f>
        <v>1922 Filbert Street</v>
      </c>
      <c r="D8" s="14" t="str">
        <f>'Complete List_09252026'!F114</f>
        <v>San Francisco</v>
      </c>
      <c r="E8" s="14" t="str">
        <f>'Complete List_09252026'!G114</f>
        <v>CA</v>
      </c>
      <c r="F8" s="14" t="str">
        <f>'Complete List_09252026'!H114</f>
        <v>94123</v>
      </c>
      <c r="G8" s="14" t="str">
        <f>'Complete List_09252026'!J114</f>
        <v>bbardell@comcast.net</v>
      </c>
      <c r="H8" s="14" t="str">
        <f>'Complete List_09252026'!K114</f>
        <v>Physical</v>
      </c>
      <c r="I8" s="14" t="str">
        <f>'Complete List_09252026'!L114</f>
        <v>Marina, Pacific Heights</v>
      </c>
    </row>
    <row r="9" spans="1:10" s="14" customFormat="1" ht="26.45" customHeight="1" x14ac:dyDescent="0.25">
      <c r="A9" s="14" t="str">
        <f>'Complete List_09252026'!D144</f>
        <v>Jordan Park Improvement Assocation</v>
      </c>
      <c r="B9" s="14" t="str">
        <f>'Complete List_09252026'!C144</f>
        <v>Rose Hillson</v>
      </c>
      <c r="C9" s="14" t="str">
        <f>'Complete List_09252026'!E144</f>
        <v>115 Parker Avenue</v>
      </c>
      <c r="D9" s="14" t="str">
        <f>'Complete List_09252026'!F144</f>
        <v>San Francisco</v>
      </c>
      <c r="E9" s="14" t="str">
        <f>'Complete List_09252026'!G144</f>
        <v>CA</v>
      </c>
      <c r="F9" s="14" t="str">
        <f>'Complete List_09252026'!H144</f>
        <v>94118-2607</v>
      </c>
      <c r="G9" s="14">
        <f>'Complete List_09252026'!J144</f>
        <v>0</v>
      </c>
      <c r="H9" s="14" t="str">
        <f>'Complete List_09252026'!K144</f>
        <v>Physical</v>
      </c>
      <c r="I9" s="14" t="str">
        <f>'Complete List_09252026'!L144</f>
        <v>Inner Richmond, Marina, Pacific Heights, Presidio Heights, Outer Richmond, Seacliff</v>
      </c>
    </row>
    <row r="10" spans="1:10" s="14" customFormat="1" ht="26.45" customHeight="1" x14ac:dyDescent="0.25">
      <c r="A10" s="14" t="str">
        <f>'Complete List_09252026'!D151</f>
        <v>Laurel Heights Improvement Association of SF, Inc.</v>
      </c>
      <c r="B10" s="14" t="str">
        <f>'Complete List_09252026'!C151</f>
        <v>Kathryn Devincenzi</v>
      </c>
      <c r="C10" s="14" t="str">
        <f>'Complete List_09252026'!E151</f>
        <v>22 Iris Avenue</v>
      </c>
      <c r="D10" s="14" t="str">
        <f>'Complete List_09252026'!F151</f>
        <v>San Francisco</v>
      </c>
      <c r="E10" s="14" t="str">
        <f>'Complete List_09252026'!G151</f>
        <v>CA</v>
      </c>
      <c r="F10" s="14">
        <f>'Complete List_09252026'!H151</f>
        <v>94118</v>
      </c>
      <c r="G10" s="14" t="str">
        <f>'Complete List_09252026'!J151</f>
        <v>KRDevincenzi@gmail.com</v>
      </c>
      <c r="H10" s="14" t="str">
        <f>'Complete List_09252026'!K151</f>
        <v>Physical</v>
      </c>
      <c r="I10" s="14" t="str">
        <f>'Complete List_09252026'!L151</f>
        <v>Inner Richmond, Pacific Heights, Presidio Heights</v>
      </c>
    </row>
    <row r="11" spans="1:10" s="14" customFormat="1" ht="26.45" customHeight="1" x14ac:dyDescent="0.25">
      <c r="A11" s="14" t="str">
        <f>'Complete List_09252026'!D245</f>
        <v>Save the Marina's Heritage</v>
      </c>
      <c r="B11" s="14" t="str">
        <f>'Complete List_09252026'!C245</f>
        <v>Michael Hebel</v>
      </c>
      <c r="C11" s="14" t="str">
        <f>'Complete List_09252026'!E245</f>
        <v>1555 Francisco Street</v>
      </c>
      <c r="D11" s="14" t="str">
        <f>'Complete List_09252026'!F245</f>
        <v>San Franicsco</v>
      </c>
      <c r="E11" s="14" t="str">
        <f>'Complete List_09252026'!G245</f>
        <v>CA</v>
      </c>
      <c r="F11" s="14">
        <f>'Complete List_09252026'!H245</f>
        <v>94123</v>
      </c>
      <c r="G11" s="14" t="str">
        <f>'Complete List_09252026'!J245</f>
        <v>savethemarinaheritage@gmail.com</v>
      </c>
      <c r="H11" s="14" t="str">
        <f>'Complete List_09252026'!K245</f>
        <v>Physical</v>
      </c>
      <c r="I11" s="14" t="str">
        <f>'Complete List_09252026'!L245</f>
        <v>Marina, Pacific Heights</v>
      </c>
    </row>
    <row r="12" spans="1:10" s="14" customFormat="1" ht="17.45" customHeight="1" x14ac:dyDescent="0.25">
      <c r="A12" s="68" t="s">
        <v>1836</v>
      </c>
      <c r="B12" s="72"/>
      <c r="C12" s="72"/>
      <c r="D12" s="72"/>
      <c r="E12" s="72"/>
      <c r="F12" s="72"/>
      <c r="G12" s="72"/>
      <c r="H12" s="72"/>
      <c r="I12" s="72"/>
    </row>
    <row r="13" spans="1:10" s="14" customFormat="1" ht="26.45" customHeight="1" x14ac:dyDescent="0.25">
      <c r="A13" s="14" t="str">
        <f>'Complete List_09252026'!D41</f>
        <v>Board of Supervisors</v>
      </c>
      <c r="B13" s="14" t="str">
        <f>'Complete List_09252026'!C41</f>
        <v>Stephen Sherrill</v>
      </c>
      <c r="C13" s="14" t="str">
        <f>'Complete List_09252026'!E41</f>
        <v>1 Dr. Carlton B Goodlett Place, Room #244</v>
      </c>
      <c r="D13" s="14" t="str">
        <f>'Complete List_09252026'!F41</f>
        <v>San Francisco</v>
      </c>
      <c r="E13" s="14" t="str">
        <f>'Complete List_09252026'!G41</f>
        <v>CA</v>
      </c>
      <c r="F13" s="14" t="str">
        <f>'Complete List_09252026'!H41</f>
        <v>94102-4689</v>
      </c>
      <c r="G13" s="14" t="str">
        <f>'Complete List_09252026'!J41</f>
        <v>SherrillStaff@sfgov.org; 
Lorenzo.Rosas@sfgov.org</v>
      </c>
      <c r="H13" s="14" t="str">
        <f>'Complete List_09252026'!K41</f>
        <v>Both</v>
      </c>
      <c r="I13" s="14" t="str">
        <f>'Complete List_09252026'!L41</f>
        <v>Marina, Pacific Heights, Presidio, Presidio Heights, Russian Hill, Seacliff, Western Addition</v>
      </c>
    </row>
    <row r="14" spans="1:10" s="14" customFormat="1" ht="14.1" customHeight="1" x14ac:dyDescent="0.25">
      <c r="A14" s="14" t="str">
        <f>'Complete List_09252026'!D226</f>
        <v>Pacific Heights Residents Association</v>
      </c>
      <c r="B14" s="14" t="str">
        <f>'Complete List_09252026'!C226</f>
        <v>Gregory Scott</v>
      </c>
      <c r="C14" s="14" t="str">
        <f>'Complete List_09252026'!E226</f>
        <v>2443 Fillmore Street, #178</v>
      </c>
      <c r="D14" s="14" t="str">
        <f>'Complete List_09252026'!F226</f>
        <v>San Francisco</v>
      </c>
      <c r="E14" s="14" t="str">
        <f>'Complete List_09252026'!G226</f>
        <v>CA</v>
      </c>
      <c r="F14" s="14" t="str">
        <f>'Complete List_09252026'!H226</f>
        <v>94115</v>
      </c>
      <c r="G14" s="14" t="str">
        <f>'Complete List_09252026'!J226</f>
        <v>info@phra-sf.org</v>
      </c>
      <c r="H14" s="14" t="str">
        <f>'Complete List_09252026'!K226</f>
        <v>Both</v>
      </c>
      <c r="I14" s="14" t="str">
        <f>'Complete List_09252026'!L226</f>
        <v>Pacific Heights</v>
      </c>
    </row>
    <row r="15" spans="1:10" s="26" customFormat="1" ht="18" customHeight="1" x14ac:dyDescent="0.25">
      <c r="A15" s="70" t="s">
        <v>1842</v>
      </c>
      <c r="B15" s="69"/>
      <c r="C15" s="69"/>
      <c r="D15" s="69"/>
      <c r="E15" s="69"/>
      <c r="F15" s="69"/>
      <c r="G15" s="69"/>
      <c r="H15" s="69"/>
      <c r="I15" s="69"/>
      <c r="J15" s="29"/>
    </row>
    <row r="16" spans="1:10" s="14" customFormat="1" x14ac:dyDescent="0.25">
      <c r="A16" s="14" t="str">
        <f>'Complete List_09252026'!D101</f>
        <v>Fillmore Merchants Association</v>
      </c>
      <c r="B16" s="14" t="str">
        <f>'Complete List_09252026'!C101</f>
        <v>Patti Mangan</v>
      </c>
      <c r="C16" s="14" t="str">
        <f>'Complete List_09252026'!E101</f>
        <v>2443 Fillmore Street, #198</v>
      </c>
      <c r="D16" s="14" t="str">
        <f>'Complete List_09252026'!F101</f>
        <v>San Francisco</v>
      </c>
      <c r="E16" s="14" t="str">
        <f>'Complete List_09252026'!G101</f>
        <v>CA</v>
      </c>
      <c r="F16" s="14">
        <f>'Complete List_09252026'!H101</f>
        <v>94115</v>
      </c>
      <c r="G16" s="14" t="str">
        <f>'Complete List_09252026'!J101</f>
        <v>fma@fillmorestreetsf.com</v>
      </c>
      <c r="H16" s="14" t="str">
        <f>'Complete List_09252026'!K101</f>
        <v>Electronic</v>
      </c>
      <c r="I16" s="14" t="str">
        <f>'Complete List_09252026'!L101</f>
        <v>Pacific Heights, Western Addition</v>
      </c>
    </row>
    <row r="17" spans="1:9" s="14" customFormat="1" x14ac:dyDescent="0.25">
      <c r="A17" s="14" t="str">
        <f>'Complete List_09252026'!D298</f>
        <v>Union Street Association</v>
      </c>
      <c r="B17" s="14" t="str">
        <f>'Complete List_09252026'!C298</f>
        <v>Lesley Leonhardt</v>
      </c>
      <c r="C17" s="14" t="str">
        <f>'Complete List_09252026'!E298</f>
        <v>PO Box 470393</v>
      </c>
      <c r="D17" s="14" t="str">
        <f>'Complete List_09252026'!F298</f>
        <v>San Francisco</v>
      </c>
      <c r="E17" s="14" t="str">
        <f>'Complete List_09252026'!G298</f>
        <v>CA</v>
      </c>
      <c r="F17" s="14">
        <f>'Complete List_09252026'!H298</f>
        <v>94147</v>
      </c>
      <c r="G17" s="14" t="str">
        <f>'Complete List_09252026'!J298</f>
        <v>LL@imagesnorth.com</v>
      </c>
      <c r="H17" s="14" t="str">
        <f>'Complete List_09252026'!K298</f>
        <v>Electronic</v>
      </c>
      <c r="I17" s="14" t="str">
        <f>'Complete List_09252026'!L298</f>
        <v>Marina, Pacific Heights</v>
      </c>
    </row>
    <row r="18" spans="1:9" x14ac:dyDescent="0.25">
      <c r="A18" s="11" t="s">
        <v>450</v>
      </c>
      <c r="B18" s="11"/>
      <c r="C18" s="11"/>
      <c r="D18" s="11"/>
      <c r="E18" s="11"/>
      <c r="F18" s="14"/>
      <c r="G18" s="11" t="s">
        <v>461</v>
      </c>
      <c r="H18" s="11" t="s">
        <v>63</v>
      </c>
      <c r="I18" s="11" t="s">
        <v>454</v>
      </c>
    </row>
  </sheetData>
  <autoFilter ref="A1:I1" xr:uid="{00000000-0009-0000-0000-00001A000000}">
    <sortState xmlns:xlrd2="http://schemas.microsoft.com/office/spreadsheetml/2017/richdata2" ref="A2:I15">
      <sortCondition descending="1" ref="H1"/>
    </sortState>
  </autoFilter>
  <mergeCells count="3">
    <mergeCell ref="A15:I15"/>
    <mergeCell ref="A12:I12"/>
    <mergeCell ref="A2:I2"/>
  </mergeCells>
  <pageMargins left="0.7" right="0.7" top="0.75" bottom="0.75" header="0.3" footer="0.3"/>
  <pageSetup scale="52" orientation="landscape"/>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J22"/>
  <sheetViews>
    <sheetView topLeftCell="A12" zoomScale="75" zoomScaleNormal="75" zoomScalePageLayoutView="75" workbookViewId="0">
      <selection activeCell="I22" sqref="I22"/>
    </sheetView>
  </sheetViews>
  <sheetFormatPr defaultColWidth="8.85546875" defaultRowHeight="12.75" x14ac:dyDescent="0.25"/>
  <cols>
    <col min="1" max="1" width="33.140625" style="5" customWidth="1"/>
    <col min="2" max="2" width="17.7109375" style="5" customWidth="1"/>
    <col min="3" max="3" width="33" style="5" customWidth="1"/>
    <col min="4" max="4" width="17.140625" style="5" customWidth="1"/>
    <col min="5" max="6" width="8.85546875" style="5" customWidth="1"/>
    <col min="7" max="7" width="28.140625" style="5" customWidth="1"/>
    <col min="8" max="8" width="34.85546875" style="5" customWidth="1"/>
    <col min="9" max="9" width="43.85546875" style="5" customWidth="1"/>
    <col min="10" max="10" width="8.85546875" style="5" customWidth="1"/>
    <col min="11" max="16384" width="8.85546875" style="5"/>
  </cols>
  <sheetData>
    <row r="1" spans="1:10" s="4" customFormat="1" ht="18" customHeight="1" x14ac:dyDescent="0.25">
      <c r="A1" s="4" t="s">
        <v>3</v>
      </c>
      <c r="B1" s="4" t="str">
        <f>'Complete List_09252026'!C1</f>
        <v>NAME</v>
      </c>
      <c r="C1" s="4" t="str">
        <f>'Complete List_09252026'!E1</f>
        <v>ADDRESS</v>
      </c>
      <c r="D1" s="4" t="str">
        <f>'Complete List_09252026'!F1</f>
        <v>CITY</v>
      </c>
      <c r="E1" s="4" t="str">
        <f>'Complete List_09252026'!G1</f>
        <v>STATE</v>
      </c>
      <c r="F1" s="10" t="str">
        <f>'Complete List_09252026'!H1</f>
        <v>ZIP</v>
      </c>
      <c r="G1" s="4" t="str">
        <f>'Complete List_09252026'!J1</f>
        <v>EMAIL</v>
      </c>
      <c r="H1" s="4" t="s">
        <v>10</v>
      </c>
      <c r="I1" s="4" t="str">
        <f>'Complete List_09252026'!L1</f>
        <v>NEIGHBORHOOD OF INTEREST</v>
      </c>
    </row>
    <row r="2" spans="1:10" s="26" customFormat="1" ht="18" customHeight="1" x14ac:dyDescent="0.25">
      <c r="A2" s="71" t="s">
        <v>1835</v>
      </c>
      <c r="B2" s="69"/>
      <c r="C2" s="69"/>
      <c r="D2" s="69"/>
      <c r="E2" s="69"/>
      <c r="F2" s="69"/>
      <c r="G2" s="69"/>
      <c r="H2" s="69"/>
      <c r="I2" s="69"/>
      <c r="J2" s="28"/>
    </row>
    <row r="3" spans="1:10" s="14" customFormat="1" ht="39.6" customHeight="1" x14ac:dyDescent="0.25">
      <c r="A3" s="14" t="str">
        <f>'Complete List_09252026'!D132</f>
        <v>Housing Rights Committee of San Francisco</v>
      </c>
      <c r="B3" s="14" t="str">
        <f>'Complete List_09252026'!C132</f>
        <v>Sarah Sherburn-Zimmer</v>
      </c>
      <c r="C3" s="14" t="str">
        <f>'Complete List_09252026'!E132</f>
        <v>1663 Mission Street, Suite 504</v>
      </c>
      <c r="D3" s="14" t="str">
        <f>'Complete List_09252026'!F132</f>
        <v>San Francisco</v>
      </c>
      <c r="E3" s="14" t="str">
        <f>'Complete List_09252026'!G132</f>
        <v>CA</v>
      </c>
      <c r="F3" s="14">
        <f>'Complete List_09252026'!H132</f>
        <v>94103</v>
      </c>
      <c r="G3" s="14" t="str">
        <f>'Complete List_09252026'!J132</f>
        <v>fred@hrcsf.org</v>
      </c>
      <c r="H3" s="14" t="str">
        <f>'Complete List_09252026'!K132</f>
        <v>Physical</v>
      </c>
      <c r="I3" s="14" t="str">
        <f>'Complete List_09252026'!L132</f>
        <v>Golden Gate Park, Inner Richmond, Inner Sunset, Lakeshore, Outer Richmond, Outer Sunset, Parkside, West of Twin Peaks</v>
      </c>
    </row>
    <row r="4" spans="1:10" s="14" customFormat="1" ht="26.45" customHeight="1" x14ac:dyDescent="0.25">
      <c r="A4" s="14" t="str">
        <f>'Complete List_09252026'!D223</f>
        <v>Outer Sunset/Parkside Residents Association (OSPRA)</v>
      </c>
      <c r="B4" s="14" t="str">
        <f>'Complete List_09252026'!C223</f>
        <v>Susan Pfeifer</v>
      </c>
      <c r="C4" s="14" t="str">
        <f>'Complete List_09252026'!E223</f>
        <v>1846 Great Highway</v>
      </c>
      <c r="D4" s="14" t="str">
        <f>'Complete List_09252026'!F223</f>
        <v>San Francisco</v>
      </c>
      <c r="E4" s="14" t="str">
        <f>'Complete List_09252026'!G223</f>
        <v>CA</v>
      </c>
      <c r="F4" s="14">
        <f>'Complete List_09252026'!H223</f>
        <v>94122</v>
      </c>
      <c r="G4" s="14" t="str">
        <f>'Complete List_09252026'!J223</f>
        <v>mediasusan2@gmail.com</v>
      </c>
      <c r="H4" s="14" t="str">
        <f>'Complete List_09252026'!K223</f>
        <v>Physical</v>
      </c>
      <c r="I4" s="14" t="str">
        <f>'Complete List_09252026'!L223</f>
        <v>Outer Susnet, Parkside</v>
      </c>
    </row>
    <row r="5" spans="1:10" s="14" customFormat="1" x14ac:dyDescent="0.25">
      <c r="A5" s="14" t="str">
        <f>'Complete List_09252026'!D224</f>
        <v>Outlands Planning Council</v>
      </c>
      <c r="B5" s="14" t="str">
        <f>'Complete List_09252026'!C224</f>
        <v>Doug Bird</v>
      </c>
      <c r="C5" s="14" t="str">
        <f>'Complete List_09252026'!E224</f>
        <v>1511 44th Avenue</v>
      </c>
      <c r="D5" s="14" t="str">
        <f>'Complete List_09252026'!F224</f>
        <v>San Franicsco</v>
      </c>
      <c r="E5" s="14" t="str">
        <f>'Complete List_09252026'!G224</f>
        <v>CA</v>
      </c>
      <c r="F5" s="14">
        <f>'Complete List_09252026'!H224</f>
        <v>94122</v>
      </c>
      <c r="G5" s="14" t="str">
        <f>'Complete List_09252026'!J224</f>
        <v>outlands.planning@gmail.com</v>
      </c>
      <c r="H5" s="14" t="str">
        <f>'Complete List_09252026'!K224</f>
        <v>Physical</v>
      </c>
      <c r="I5" s="14" t="str">
        <f>'Complete List_09252026'!L224</f>
        <v>Outer Richmond, Outer Sunset, Parkside</v>
      </c>
    </row>
    <row r="6" spans="1:10" s="14" customFormat="1" x14ac:dyDescent="0.25">
      <c r="A6" s="14" t="str">
        <f>'Complete List_09252026'!D227</f>
        <v>Parkmerced Action Coalition</v>
      </c>
      <c r="B6" s="14" t="str">
        <f>'Complete List_09252026'!C227</f>
        <v>Cathy Lentz</v>
      </c>
      <c r="C6" s="14" t="str">
        <f>'Complete List_09252026'!E227</f>
        <v>P.O. BOX 320162</v>
      </c>
      <c r="D6" s="14" t="str">
        <f>'Complete List_09252026'!F227</f>
        <v>San Francisco</v>
      </c>
      <c r="E6" s="14" t="str">
        <f>'Complete List_09252026'!G227</f>
        <v>CA</v>
      </c>
      <c r="F6" s="14">
        <f>'Complete List_09252026'!H227</f>
        <v>94132</v>
      </c>
      <c r="G6" s="14" t="str">
        <f>'Complete List_09252026'!J227</f>
        <v>parkmercedac@gmail.com</v>
      </c>
      <c r="H6" s="14" t="str">
        <f>'Complete List_09252026'!K227</f>
        <v>Physical</v>
      </c>
      <c r="I6" s="14" t="str">
        <f>'Complete List_09252026'!L227</f>
        <v>Lakeshore, Parkside</v>
      </c>
    </row>
    <row r="7" spans="1:10" s="14" customFormat="1" ht="79.150000000000006" customHeight="1" x14ac:dyDescent="0.25">
      <c r="A7" s="14" t="str">
        <f>'Complete List_09252026'!D261</f>
        <v>Sherwin Williams</v>
      </c>
      <c r="B7" s="14" t="str">
        <f>'Complete List_09252026'!C261</f>
        <v>Francesca Panullo</v>
      </c>
      <c r="C7" s="14" t="str">
        <f>'Complete List_09252026'!E261</f>
        <v>1415 Ocean Ave</v>
      </c>
      <c r="D7" s="14" t="str">
        <f>'Complete List_09252026'!F261</f>
        <v>San Francisco</v>
      </c>
      <c r="E7" s="14" t="str">
        <f>'Complete List_09252026'!G261</f>
        <v>CA</v>
      </c>
      <c r="F7" s="14">
        <f>'Complete List_09252026'!H261</f>
        <v>94112</v>
      </c>
      <c r="G7" s="14" t="str">
        <f>'Complete List_09252026'!J261</f>
        <v>sw8644@sherwin.com</v>
      </c>
      <c r="H7" s="14" t="str">
        <f>'Complete List_09252026'!K261</f>
        <v>Physical</v>
      </c>
      <c r="I7" s="14" t="str">
        <f>'Complete List_09252026'!L261</f>
        <v>Bayview, Bernal Heights, Crocker Amazon, Diamond Heights, Excelsior, Glen Park, Inner Sunset, Lakeshore, Noe Valley, Ocean View, Outer Mission, Outer Sunset, Parkside, Potrero Hill, South Bayshore, Twin Peaks, Visitacion Valley, West of Twin Peaks</v>
      </c>
    </row>
    <row r="8" spans="1:10" s="14" customFormat="1" ht="52.9" customHeight="1" x14ac:dyDescent="0.25">
      <c r="A8" s="14" t="str">
        <f>'Complete List_09252026'!D309</f>
        <v>West of Twin Peaks Central Council</v>
      </c>
      <c r="B8" s="14" t="str">
        <f>'Complete List_09252026'!C309</f>
        <v>Matt Chamberlain</v>
      </c>
      <c r="C8" s="14" t="str">
        <f>'Complete List_09252026'!E309</f>
        <v>P.O. Box 27112</v>
      </c>
      <c r="D8" s="14" t="str">
        <f>'Complete List_09252026'!F309</f>
        <v>San Francisco</v>
      </c>
      <c r="E8" s="14" t="str">
        <f>'Complete List_09252026'!G309</f>
        <v>CA</v>
      </c>
      <c r="F8" s="14" t="str">
        <f>'Complete List_09252026'!H309</f>
        <v>94127</v>
      </c>
      <c r="G8" s="14" t="str">
        <f>'Complete List_09252026'!J309</f>
        <v xml:space="preserve">info@WestOfTwinPeaks.org
President@WestOfTwinPeaks.org 
</v>
      </c>
      <c r="H8" s="14" t="str">
        <f>'Complete List_09252026'!K309</f>
        <v>Physical</v>
      </c>
      <c r="I8" s="14" t="str">
        <f>'Complete List_09252026'!L309</f>
        <v>Diamond Heights, Lakeshore, Parkside, Twin Peaks, West of Twin Peaks</v>
      </c>
    </row>
    <row r="9" spans="1:10" s="14" customFormat="1" ht="26.45" customHeight="1" x14ac:dyDescent="0.25">
      <c r="A9" s="14" t="str">
        <f>'Complete List_09252026'!D113</f>
        <v>Golden Gate Heights Neighborhood Association</v>
      </c>
      <c r="B9" s="14" t="str">
        <f>'Complete List_09252026'!C113</f>
        <v>Sally Stephens</v>
      </c>
      <c r="C9" s="14" t="str">
        <f>'Complete List_09252026'!E113</f>
        <v>P.O. Box 27608</v>
      </c>
      <c r="D9" s="14" t="str">
        <f>'Complete List_09252026'!F113</f>
        <v>San Francisco</v>
      </c>
      <c r="E9" s="14" t="str">
        <f>'Complete List_09252026'!G113</f>
        <v>CA</v>
      </c>
      <c r="F9" s="14" t="str">
        <f>'Complete List_09252026'!H113</f>
        <v>94127</v>
      </c>
      <c r="G9" s="14" t="str">
        <f>'Complete List_09252026'!J113</f>
        <v>info@goldengateheights.org</v>
      </c>
      <c r="H9" s="14" t="str">
        <f>'Complete List_09252026'!K113</f>
        <v>Physical</v>
      </c>
      <c r="I9" s="14" t="str">
        <f>'Complete List_09252026'!L113</f>
        <v>Inner Sunset, Parkside, West of Twin Peaks</v>
      </c>
    </row>
    <row r="10" spans="1:10" s="14" customFormat="1" ht="26.45" customHeight="1" x14ac:dyDescent="0.25">
      <c r="A10" s="14" t="str">
        <f>'Complete List_09252026'!D273</f>
        <v>SPEAK (Sunset-Parkside Education and Action Committee)</v>
      </c>
      <c r="B10" s="14" t="str">
        <f>'Complete List_09252026'!C273</f>
        <v>Eileen Boken</v>
      </c>
      <c r="C10" s="14" t="str">
        <f>'Complete List_09252026'!E273</f>
        <v>1329 7th Ave</v>
      </c>
      <c r="D10" s="14" t="str">
        <f>'Complete List_09252026'!F273</f>
        <v>San Francisco</v>
      </c>
      <c r="E10" s="14" t="str">
        <f>'Complete List_09252026'!G273</f>
        <v>CA</v>
      </c>
      <c r="F10" s="14" t="str">
        <f>'Complete List_09252026'!H273</f>
        <v>94122</v>
      </c>
      <c r="G10" s="14" t="str">
        <f>'Complete List_09252026'!J273</f>
        <v>speaksanfrancisco@yahoo.com</v>
      </c>
      <c r="H10" s="14" t="str">
        <f>'Complete List_09252026'!K273</f>
        <v>Physical</v>
      </c>
      <c r="I10" s="14" t="str">
        <f>'Complete List_09252026'!L273</f>
        <v>Inner Sunset, Outer Sunset, Parkside</v>
      </c>
    </row>
    <row r="11" spans="1:10" s="14" customFormat="1" ht="17.45" customHeight="1" x14ac:dyDescent="0.25">
      <c r="A11" s="68" t="s">
        <v>1836</v>
      </c>
      <c r="B11" s="72"/>
      <c r="C11" s="72"/>
      <c r="D11" s="72"/>
      <c r="E11" s="72"/>
      <c r="F11" s="72"/>
      <c r="G11" s="72"/>
      <c r="H11" s="72"/>
      <c r="I11" s="72"/>
    </row>
    <row r="12" spans="1:10" s="14" customFormat="1" ht="66" customHeight="1" x14ac:dyDescent="0.25">
      <c r="A12" s="14" t="str">
        <f>'Complete List_09252026'!D42</f>
        <v>Board of Supervisors</v>
      </c>
      <c r="B12" s="14" t="str">
        <f>'Complete List_09252026'!C42</f>
        <v>Alan Wong</v>
      </c>
      <c r="C12" s="14" t="str">
        <f>'Complete List_09252026'!E42</f>
        <v>1 Dr. Carlton B Goodlett Place, Room #244</v>
      </c>
      <c r="D12" s="14" t="str">
        <f>'Complete List_09252026'!F42</f>
        <v>San Francisco</v>
      </c>
      <c r="E12" s="14" t="str">
        <f>'Complete List_09252026'!G42</f>
        <v>CA</v>
      </c>
      <c r="F12" s="14" t="str">
        <f>'Complete List_09252026'!H42</f>
        <v>94102-4689</v>
      </c>
      <c r="G12" s="14" t="str">
        <f>'Complete List_09252026'!J42</f>
        <v>Tiff.Lee@sfgov.org;
Jessica.Cen@sfgov.org;
Andrew.Sinn@sfgov.org;
Derek.Lee@sfgov.org;
WongStaff@sfgov.org</v>
      </c>
      <c r="H12" s="14" t="str">
        <f>'Complete List_09252026'!K42</f>
        <v>Both</v>
      </c>
      <c r="I12" s="14" t="str">
        <f>'Complete List_09252026'!L42</f>
        <v>Lakeshore, Outer Sunset, Parkside</v>
      </c>
    </row>
    <row r="13" spans="1:10" s="14" customFormat="1" ht="79.150000000000006" customHeight="1" x14ac:dyDescent="0.25">
      <c r="A13" s="14" t="str">
        <f>'Complete List_09252026'!D40</f>
        <v>Board of Supervisors</v>
      </c>
      <c r="B13" s="14" t="str">
        <f>'Complete List_09252026'!C40</f>
        <v>Myrna Melgar</v>
      </c>
      <c r="C13" s="14" t="str">
        <f>'Complete List_09252026'!E40</f>
        <v>1 Dr. Carlton B Goodlett Place, Room #244</v>
      </c>
      <c r="D13" s="14" t="str">
        <f>'Complete List_09252026'!F40</f>
        <v>San Francisco</v>
      </c>
      <c r="E13" s="14" t="str">
        <f>'Complete List_09252026'!G40</f>
        <v>CA</v>
      </c>
      <c r="F13" s="14" t="str">
        <f>'Complete List_09252026'!H40</f>
        <v>94102-4689</v>
      </c>
      <c r="G13" s="14" t="str">
        <f>'Complete List_09252026'!J40</f>
        <v>myrna.melgar@sfgov.org;
Jennifer.Fieber@sfgov.org;
Megan.Imperial@sfgov.org;
Lila.Carrillo@sfgov.org;
Jen.Low@sfgov.org;
melgarstaff@sfgov.org</v>
      </c>
      <c r="H13" s="14" t="str">
        <f>'Complete List_09252026'!K40</f>
        <v>Both</v>
      </c>
      <c r="I13" s="14" t="str">
        <f>'Complete List_09252026'!L40</f>
        <v>Inner Sunset, Lakeshore, Ocean View, Parkside, Twin Peaks, West of Twin Peaks</v>
      </c>
    </row>
    <row r="14" spans="1:10" s="26" customFormat="1" ht="18" customHeight="1" x14ac:dyDescent="0.25">
      <c r="A14" s="70" t="s">
        <v>1842</v>
      </c>
      <c r="B14" s="69"/>
      <c r="C14" s="69"/>
      <c r="D14" s="69"/>
      <c r="E14" s="69"/>
      <c r="F14" s="69"/>
      <c r="G14" s="69"/>
      <c r="H14" s="69"/>
      <c r="I14" s="69"/>
      <c r="J14" s="29"/>
    </row>
    <row r="15" spans="1:10" s="14" customFormat="1" ht="26.45" customHeight="1" x14ac:dyDescent="0.25">
      <c r="A15" s="14" t="str">
        <f>'Complete List_09252026'!D311</f>
        <v>Westside = best side!</v>
      </c>
      <c r="B15" s="14" t="str">
        <f>'Complete List_09252026'!C311</f>
        <v>Maelig Morvan</v>
      </c>
      <c r="C15" s="14" t="str">
        <f>'Complete List_09252026'!E311</f>
        <v>1444 48th Avenue</v>
      </c>
      <c r="D15" s="14" t="str">
        <f>'Complete List_09252026'!F311</f>
        <v>San Francisco</v>
      </c>
      <c r="E15" s="14" t="str">
        <f>'Complete List_09252026'!G311</f>
        <v>CA</v>
      </c>
      <c r="F15" s="14">
        <f>'Complete List_09252026'!H311</f>
        <v>94122</v>
      </c>
      <c r="G15" s="14" t="str">
        <f>'Complete List_09252026'!J311</f>
        <v>westsidebestsidesf@gmail.com</v>
      </c>
      <c r="H15" s="14" t="str">
        <f>'Complete List_09252026'!K311</f>
        <v>Electronic</v>
      </c>
      <c r="I15" s="14" t="str">
        <f>'Complete List_09252026'!L311</f>
        <v>Inner Sunset, Lakeshore, Outer Sunset, Parkside, West of Twin Peaks</v>
      </c>
    </row>
    <row r="16" spans="1:10" s="14" customFormat="1" ht="26.45" customHeight="1" x14ac:dyDescent="0.25">
      <c r="A16" s="14" t="str">
        <f>'Complete List_09252026'!D275</f>
        <v>Saint Ignatius Neighbrhood Association</v>
      </c>
      <c r="B16" s="14" t="str">
        <f>'Complete List_09252026'!C275</f>
        <v>Deborah Fischer-Brown</v>
      </c>
      <c r="C16" s="14" t="str">
        <f>'Complete List_09252026'!E275</f>
        <v>2151 39th Ave</v>
      </c>
      <c r="D16" s="14" t="str">
        <f>'Complete List_09252026'!F275</f>
        <v>San Francisco</v>
      </c>
      <c r="E16" s="14" t="str">
        <f>'Complete List_09252026'!G275</f>
        <v>CA</v>
      </c>
      <c r="F16" s="14">
        <f>'Complete List_09252026'!H275</f>
        <v>94116</v>
      </c>
      <c r="G16" s="14" t="str">
        <f>'Complete List_09252026'!J275</f>
        <v>sisunsetneighbors@hotmail.com</v>
      </c>
      <c r="H16" s="14" t="str">
        <f>'Complete List_09252026'!K275</f>
        <v>Electronic</v>
      </c>
      <c r="I16" s="14" t="str">
        <f>'Complete List_09252026'!L275</f>
        <v>Outer Sunset, Parkside</v>
      </c>
    </row>
    <row r="17" spans="1:9" ht="26.45" customHeight="1" x14ac:dyDescent="0.25">
      <c r="A17" s="5" t="str">
        <f>'Complete List_09252026'!D312</f>
        <v>Westside Community Coalition</v>
      </c>
      <c r="B17" s="5" t="str">
        <f>'Complete List_09252026'!C312</f>
        <v>Joseph Smooke</v>
      </c>
      <c r="C17" s="5" t="str">
        <f>'Complete List_09252026'!E312</f>
        <v>366 10th Ave</v>
      </c>
      <c r="D17" s="5" t="str">
        <f>'Complete List_09252026'!F312</f>
        <v>San Francisco</v>
      </c>
      <c r="E17" s="5" t="str">
        <f>'Complete List_09252026'!G312</f>
        <v>CA</v>
      </c>
      <c r="F17" s="5">
        <f>'Complete List_09252026'!H312</f>
        <v>94118</v>
      </c>
      <c r="G17" s="5" t="str">
        <f>'Complete List_09252026'!J312</f>
        <v>joseph_smooke@yahoo.com</v>
      </c>
      <c r="H17" s="5" t="str">
        <f>'Complete List_09252026'!K312</f>
        <v>Electronic</v>
      </c>
      <c r="I17" s="5" t="str">
        <f>'Complete List_09252026'!L312</f>
        <v>Inner Richmond, Inner Sunset, Lakeshore, Outer Richmond, Outer Sunset, Parkside</v>
      </c>
    </row>
    <row r="18" spans="1:9" x14ac:dyDescent="0.25">
      <c r="A18" s="5" t="str">
        <f>'Complete List_09252026'!D219</f>
        <v>Open the Great Highway Alliance</v>
      </c>
      <c r="B18" s="5" t="str">
        <f>'Complete List_09252026'!C219</f>
        <v>Stephen Groski</v>
      </c>
      <c r="C18" s="5" t="str">
        <f>'Complete List_09252026'!E219</f>
        <v>2366 48th Avenue</v>
      </c>
      <c r="D18" s="5" t="str">
        <f>'Complete List_09252026'!F219</f>
        <v>San Francisco</v>
      </c>
      <c r="E18" s="5" t="str">
        <f>'Complete List_09252026'!G219</f>
        <v>CA</v>
      </c>
      <c r="F18" s="5">
        <f>'Complete List_09252026'!H219</f>
        <v>94116</v>
      </c>
      <c r="G18" s="5" t="str">
        <f>'Complete List_09252026'!J219</f>
        <v>sjgorskilaw@gmail.com</v>
      </c>
      <c r="H18" s="5" t="str">
        <f>'Complete List_09252026'!K219</f>
        <v>Electronic</v>
      </c>
      <c r="I18" s="5" t="str">
        <f>'Complete List_09252026'!L219</f>
        <v>Outer Sunset, Parkside</v>
      </c>
    </row>
    <row r="19" spans="1:9" ht="26.45" customHeight="1" x14ac:dyDescent="0.25">
      <c r="A19" s="5" t="str">
        <f>'Complete List_09252026'!D33</f>
        <v>Better Housing Policies</v>
      </c>
      <c r="B19" s="5" t="str">
        <f>'Complete List_09252026'!C33</f>
        <v>Josephine Zhao</v>
      </c>
      <c r="C19" s="5" t="str">
        <f>'Complete List_09252026'!E33</f>
        <v>945 Taraval Street</v>
      </c>
      <c r="D19" s="5" t="str">
        <f>'Complete List_09252026'!F33</f>
        <v>San Francisco</v>
      </c>
      <c r="E19" s="5" t="str">
        <f>'Complete List_09252026'!G33</f>
        <v>CA</v>
      </c>
      <c r="F19" s="5">
        <f>'Complete List_09252026'!H33</f>
        <v>94116</v>
      </c>
      <c r="G19" s="5" t="str">
        <f>'Complete List_09252026'!J33</f>
        <v>info@betterhousingpolicies.org</v>
      </c>
      <c r="H19" s="5" t="str">
        <f>'Complete List_09252026'!K33</f>
        <v>Electronic</v>
      </c>
      <c r="I19" s="5" t="str">
        <f>'Complete List_09252026'!L33</f>
        <v>Excelsior, Outer Richmond, Outer Sunset, Parkside, Visitacion Valley</v>
      </c>
    </row>
    <row r="20" spans="1:9" x14ac:dyDescent="0.25">
      <c r="A20" s="5" t="str">
        <f>'Complete List_09252026'!D282</f>
        <v>Sunset Small Business Network</v>
      </c>
      <c r="B20" s="5" t="str">
        <f>'Complete List_09252026'!C282</f>
        <v>Poppy Gilman</v>
      </c>
      <c r="C20" s="5" t="str">
        <f>'Complete List_09252026'!E282</f>
        <v>2309 Noriega Street</v>
      </c>
      <c r="D20" s="5" t="str">
        <f>'Complete List_09252026'!F282</f>
        <v>San Francisco</v>
      </c>
      <c r="E20" s="5" t="str">
        <f>'Complete List_09252026'!G282</f>
        <v>CA</v>
      </c>
      <c r="F20" s="5">
        <f>'Complete List_09252026'!H282</f>
        <v>94122</v>
      </c>
      <c r="G20" s="5" t="str">
        <f>'Complete List_09252026'!J282</f>
        <v>poppy.noriegast@gmail.com</v>
      </c>
      <c r="H20" s="5" t="str">
        <f>'Complete List_09252026'!K282</f>
        <v>Electronic</v>
      </c>
      <c r="I20" s="5" t="str">
        <f>'Complete List_09252026'!L282</f>
        <v>Inner Sunset, Outer Sunset, Parkside</v>
      </c>
    </row>
    <row r="21" spans="1:9" x14ac:dyDescent="0.25">
      <c r="A21" s="5" t="str">
        <f>'Complete List_09252026'!D222</f>
        <v>Outer Sunset Neighbors</v>
      </c>
      <c r="B21" s="5" t="str">
        <f>'Complete List_09252026'!C222</f>
        <v>Alice Duesdieker</v>
      </c>
      <c r="C21" s="5" t="str">
        <f>'Complete List_09252026'!E222</f>
        <v>2309 Noriega Street #75</v>
      </c>
      <c r="D21" s="5" t="str">
        <f>'Complete List_09252026'!F222</f>
        <v>San Francisco</v>
      </c>
      <c r="E21" s="5" t="str">
        <f>'Complete List_09252026'!G222</f>
        <v>CA</v>
      </c>
      <c r="F21" s="5">
        <f>'Complete List_09252026'!H222</f>
        <v>94122</v>
      </c>
      <c r="G21" s="33" t="str">
        <f>'Complete List_09252026'!J222</f>
        <v>hello@sunsetneighbors.org</v>
      </c>
      <c r="H21" s="5" t="str">
        <f>'Complete List_09252026'!K222</f>
        <v>Electronic</v>
      </c>
      <c r="I21" s="5" t="str">
        <f>'Complete List_09252026'!L222</f>
        <v>Outer Sunset, Parkside</v>
      </c>
    </row>
    <row r="22" spans="1:9" ht="13.9" customHeight="1" x14ac:dyDescent="0.25">
      <c r="A22" s="6" t="str">
        <f>'Complete List_09252026'!D110</f>
        <v>Friends of Sunset Dunes</v>
      </c>
      <c r="B22" s="6" t="str">
        <f>'Complete List_09252026'!C110</f>
        <v>Lucas Lux</v>
      </c>
      <c r="C22" s="6" t="str">
        <f>'Complete List_09252026'!E110</f>
        <v>2309 Noriega Street #55</v>
      </c>
      <c r="D22" s="6" t="str">
        <f>'Complete List_09252026'!F110</f>
        <v>San Francisco</v>
      </c>
      <c r="E22" s="6" t="str">
        <f>'Complete List_09252026'!G110</f>
        <v>CA</v>
      </c>
      <c r="F22" s="6">
        <f>'Complete List_09252026'!H110</f>
        <v>94122</v>
      </c>
      <c r="G22" s="6" t="str">
        <f>'Complete List_09252026'!J110</f>
        <v>hello@sunsetdunes.org</v>
      </c>
      <c r="H22" s="6" t="str">
        <f>'Complete List_09252026'!K110</f>
        <v>Electronic</v>
      </c>
      <c r="I22" s="6" t="str">
        <f>'Complete List_09252026'!L110</f>
        <v>Outer Sunset, Parkside</v>
      </c>
    </row>
  </sheetData>
  <autoFilter ref="A1:I1" xr:uid="{00000000-0009-0000-0000-00001B000000}">
    <sortState xmlns:xlrd2="http://schemas.microsoft.com/office/spreadsheetml/2017/richdata2" ref="A2:I13">
      <sortCondition descending="1" ref="H1"/>
    </sortState>
  </autoFilter>
  <mergeCells count="3">
    <mergeCell ref="A2:I2"/>
    <mergeCell ref="A14:I14"/>
    <mergeCell ref="A11:I11"/>
  </mergeCells>
  <pageMargins left="0.7" right="0.7" top="0.75" bottom="0.75" header="0.3" footer="0.3"/>
  <pageSetup scale="52" orientation="landscape"/>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J28"/>
  <sheetViews>
    <sheetView zoomScale="75" zoomScaleNormal="75" zoomScalePageLayoutView="75" workbookViewId="0">
      <selection activeCell="I10" sqref="I10"/>
    </sheetView>
  </sheetViews>
  <sheetFormatPr defaultColWidth="8.85546875" defaultRowHeight="14.25" x14ac:dyDescent="0.25"/>
  <cols>
    <col min="1" max="1" width="34.140625" style="6" customWidth="1"/>
    <col min="2" max="2" width="22.140625" style="6" customWidth="1"/>
    <col min="3" max="3" width="38.7109375" style="6" customWidth="1"/>
    <col min="4" max="4" width="16" style="6" customWidth="1"/>
    <col min="5" max="5" width="8.85546875" style="6" customWidth="1"/>
    <col min="6" max="6" width="8.85546875" style="13" customWidth="1"/>
    <col min="7" max="8" width="31" style="6" customWidth="1"/>
    <col min="9" max="9" width="41.42578125" style="6" customWidth="1"/>
    <col min="10" max="10" width="8.85546875" style="6" customWidth="1"/>
    <col min="11" max="16384" width="8.85546875" style="6"/>
  </cols>
  <sheetData>
    <row r="1" spans="1:10" s="4" customFormat="1" ht="18" customHeight="1" x14ac:dyDescent="0.25">
      <c r="A1" s="4" t="s">
        <v>3</v>
      </c>
      <c r="B1" s="4" t="str">
        <f>'Complete List_09252026'!C1</f>
        <v>NAME</v>
      </c>
      <c r="C1" s="4" t="str">
        <f>'Complete List_09252026'!E1</f>
        <v>ADDRESS</v>
      </c>
      <c r="D1" s="4" t="str">
        <f>'Complete List_09252026'!F1</f>
        <v>CITY</v>
      </c>
      <c r="E1" s="4" t="str">
        <f>'Complete List_09252026'!G1</f>
        <v>STATE</v>
      </c>
      <c r="F1" s="10" t="str">
        <f>'Complete List_09252026'!H1</f>
        <v>ZIP</v>
      </c>
      <c r="G1" s="4" t="str">
        <f>'Complete List_09252026'!J1</f>
        <v>EMAIL</v>
      </c>
      <c r="H1" s="4" t="s">
        <v>10</v>
      </c>
      <c r="I1" s="4" t="str">
        <f>'Complete List_09252026'!L1</f>
        <v>NEIGHBORHOOD OF INTEREST</v>
      </c>
    </row>
    <row r="2" spans="1:10" s="26" customFormat="1" ht="18" customHeight="1" x14ac:dyDescent="0.25">
      <c r="A2" s="71" t="s">
        <v>1835</v>
      </c>
      <c r="B2" s="69"/>
      <c r="C2" s="69"/>
      <c r="D2" s="69"/>
      <c r="E2" s="69"/>
      <c r="F2" s="69"/>
      <c r="G2" s="69"/>
      <c r="H2" s="69"/>
      <c r="I2" s="69"/>
      <c r="J2" s="28"/>
    </row>
    <row r="3" spans="1:10" s="14" customFormat="1" ht="13.15" customHeight="1" x14ac:dyDescent="0.25">
      <c r="A3" s="14" t="str">
        <f>'Complete List_09252026'!D92</f>
        <v>Esprit Owners Association</v>
      </c>
      <c r="B3" s="14" t="str">
        <f>'Complete List_09252026'!C92</f>
        <v>Sue Mortensen</v>
      </c>
      <c r="C3" s="14" t="str">
        <f>'Complete List_09252026'!E92</f>
        <v>900 Minnesota Street</v>
      </c>
      <c r="D3" s="14" t="str">
        <f>'Complete List_09252026'!F92</f>
        <v>San Francisco</v>
      </c>
      <c r="E3" s="14" t="str">
        <f>'Complete List_09252026'!G92</f>
        <v>CA</v>
      </c>
      <c r="F3" s="14">
        <f>'Complete List_09252026'!H92</f>
        <v>94107</v>
      </c>
      <c r="G3" s="14" t="str">
        <f>'Complete List_09252026'!J92</f>
        <v>smortens@earthlink.net</v>
      </c>
      <c r="H3" s="14" t="str">
        <f>'Complete List_09252026'!K92</f>
        <v>Physical</v>
      </c>
      <c r="I3" s="14" t="str">
        <f>'Complete List_09252026'!L92</f>
        <v>Potrero Hill</v>
      </c>
    </row>
    <row r="4" spans="1:10" s="14" customFormat="1" ht="79.150000000000006" customHeight="1" x14ac:dyDescent="0.25">
      <c r="A4" s="14" t="str">
        <f>'Complete List_09252026'!D261</f>
        <v>Sherwin Williams</v>
      </c>
      <c r="B4" s="14" t="str">
        <f>'Complete List_09252026'!C261</f>
        <v>Francesca Panullo</v>
      </c>
      <c r="C4" s="14" t="str">
        <f>'Complete List_09252026'!E261</f>
        <v>1415 Ocean Ave</v>
      </c>
      <c r="D4" s="14" t="str">
        <f>'Complete List_09252026'!F261</f>
        <v>San Francisco</v>
      </c>
      <c r="E4" s="14" t="str">
        <f>'Complete List_09252026'!G261</f>
        <v>CA</v>
      </c>
      <c r="F4" s="14">
        <f>'Complete List_09252026'!H261</f>
        <v>94112</v>
      </c>
      <c r="G4" s="14" t="str">
        <f>'Complete List_09252026'!J261</f>
        <v>sw8644@sherwin.com</v>
      </c>
      <c r="H4" s="14" t="str">
        <f>'Complete List_09252026'!K261</f>
        <v>Physical</v>
      </c>
      <c r="I4" s="14" t="str">
        <f>'Complete List_09252026'!L261</f>
        <v>Bayview, Bernal Heights, Crocker Amazon, Diamond Heights, Excelsior, Glen Park, Inner Sunset, Lakeshore, Noe Valley, Ocean View, Outer Mission, Outer Sunset, Parkside, Potrero Hill, South Bayshore, Twin Peaks, Visitacion Valley, West of Twin Peaks</v>
      </c>
    </row>
    <row r="5" spans="1:10" s="14" customFormat="1" ht="26.45" customHeight="1" x14ac:dyDescent="0.25">
      <c r="A5" s="14" t="str">
        <f>'Complete List_09252026'!D304</f>
        <v>Valencia Corridor Merchant Association</v>
      </c>
      <c r="B5" s="14" t="str">
        <f>'Complete List_09252026'!C304</f>
        <v>Sean  Quigley</v>
      </c>
      <c r="C5" s="14" t="str">
        <f>'Complete List_09252026'!E304</f>
        <v>766 Valencia Street, 3rd Floor</v>
      </c>
      <c r="D5" s="14" t="str">
        <f>'Complete List_09252026'!F304</f>
        <v>San Francisco</v>
      </c>
      <c r="E5" s="14" t="str">
        <f>'Complete List_09252026'!G304</f>
        <v>CA</v>
      </c>
      <c r="F5" s="14">
        <f>'Complete List_09252026'!H304</f>
        <v>94110</v>
      </c>
      <c r="G5" s="14" t="str">
        <f>'Complete List_09252026'!J304</f>
        <v>seanq@paxtongate.com</v>
      </c>
      <c r="H5" s="14" t="str">
        <f>'Complete List_09252026'!K304</f>
        <v>Physical</v>
      </c>
      <c r="I5" s="14" t="str">
        <f>'Complete List_09252026'!L304</f>
        <v>Castro/Upper Market, Mission, Potrero Hill</v>
      </c>
    </row>
    <row r="6" spans="1:10" s="14" customFormat="1" ht="13.15" customHeight="1" x14ac:dyDescent="0.25">
      <c r="A6" s="14" t="str">
        <f>'Complete List_09252026'!D233</f>
        <v>Potrero Hill Neighbors/Save the Hill</v>
      </c>
      <c r="B6" s="14" t="str">
        <f>'Complete List_09252026'!C233</f>
        <v>Rodney Minott</v>
      </c>
      <c r="C6" s="14" t="str">
        <f>'Complete List_09252026'!E233</f>
        <v>1206 Mariposa Street</v>
      </c>
      <c r="D6" s="14" t="str">
        <f>'Complete List_09252026'!F233</f>
        <v>San Francisco</v>
      </c>
      <c r="E6" s="14" t="str">
        <f>'Complete List_09252026'!G233</f>
        <v>CA</v>
      </c>
      <c r="F6" s="14">
        <f>'Complete List_09252026'!H233</f>
        <v>94107</v>
      </c>
      <c r="G6" s="14" t="str">
        <f>'Complete List_09252026'!J233</f>
        <v>rodneyminott@outlook.com</v>
      </c>
      <c r="H6" s="14" t="str">
        <f>'Complete List_09252026'!K233</f>
        <v>Physical</v>
      </c>
      <c r="I6" s="14" t="str">
        <f>'Complete List_09252026'!L233</f>
        <v>Potrero Hill, South of Market</v>
      </c>
    </row>
    <row r="7" spans="1:10" s="14" customFormat="1" ht="13.15" customHeight="1" x14ac:dyDescent="0.25">
      <c r="A7" s="14" t="str">
        <f>'Complete List_09252026'!D306</f>
        <v>Vermont St. Neighborhood Association</v>
      </c>
      <c r="B7" s="14" t="str">
        <f>'Complete List_09252026'!C306</f>
        <v>Joyce  Book</v>
      </c>
      <c r="C7" s="14" t="str">
        <f>'Complete List_09252026'!E306</f>
        <v>740 Vermont Street</v>
      </c>
      <c r="D7" s="14" t="str">
        <f>'Complete List_09252026'!F306</f>
        <v>San Francisco</v>
      </c>
      <c r="E7" s="14" t="str">
        <f>'Complete List_09252026'!G306</f>
        <v>CA</v>
      </c>
      <c r="F7" s="14">
        <f>'Complete List_09252026'!H306</f>
        <v>94107</v>
      </c>
      <c r="G7" s="14" t="str">
        <f>'Complete List_09252026'!J306</f>
        <v>joyce@mediabook.com</v>
      </c>
      <c r="H7" s="14" t="str">
        <f>'Complete List_09252026'!K306</f>
        <v>Physical</v>
      </c>
      <c r="I7" s="14" t="str">
        <f>'Complete List_09252026'!L306</f>
        <v>Potrero Hill</v>
      </c>
    </row>
    <row r="8" spans="1:10" s="14" customFormat="1" ht="17.45" customHeight="1" x14ac:dyDescent="0.25">
      <c r="A8" s="68" t="s">
        <v>1836</v>
      </c>
      <c r="B8" s="72"/>
      <c r="C8" s="72"/>
      <c r="D8" s="72"/>
      <c r="E8" s="72"/>
      <c r="F8" s="72"/>
      <c r="G8" s="72"/>
      <c r="H8" s="72"/>
      <c r="I8" s="72"/>
    </row>
    <row r="9" spans="1:10" s="14" customFormat="1" ht="52.9" customHeight="1" x14ac:dyDescent="0.25">
      <c r="A9" s="14" t="str">
        <f>'Complete List_09252026'!D34</f>
        <v>Board of Supervisors</v>
      </c>
      <c r="B9" s="14" t="str">
        <f>'Complete List_09252026'!C34</f>
        <v>Shamann Walton</v>
      </c>
      <c r="C9" s="14" t="str">
        <f>'Complete List_09252026'!E34</f>
        <v>1 Dr. Carlton B Goodlett Place, Room #244</v>
      </c>
      <c r="D9" s="14" t="str">
        <f>'Complete List_09252026'!F34</f>
        <v>San Francisco</v>
      </c>
      <c r="E9" s="14" t="str">
        <f>'Complete List_09252026'!G34</f>
        <v>CA</v>
      </c>
      <c r="F9" s="14" t="str">
        <f>'Complete List_09252026'!H34</f>
        <v>94102-4689</v>
      </c>
      <c r="G9" s="14" t="str">
        <f>'Complete List_09252026'!J34</f>
        <v>waltonstaff@sfgov.org; Percy.Burch@sfgov.org; Tracy.Gallardo@sfgov.org; Natalie.Gee@sfgov.org</v>
      </c>
      <c r="H9" s="14" t="str">
        <f>'Complete List_09252026'!K34</f>
        <v>Both</v>
      </c>
      <c r="I9" s="14" t="str">
        <f>'Complete List_09252026'!L34</f>
        <v>Bayview, Potrero Hill, Visitacion Valley</v>
      </c>
    </row>
    <row r="10" spans="1:10" s="14" customFormat="1" ht="52.9" customHeight="1" x14ac:dyDescent="0.25">
      <c r="A10" s="14" t="str">
        <f>'Complete List_09252026'!D183</f>
        <v>Mission Bay Neighborhood Association</v>
      </c>
      <c r="B10" s="14" t="str">
        <f>'Complete List_09252026'!C183</f>
        <v>Bettina Cohen</v>
      </c>
      <c r="C10" s="14" t="str">
        <f>'Complete List_09252026'!E183</f>
        <v>330 Berry Street, Unit 206</v>
      </c>
      <c r="D10" s="14" t="str">
        <f>'Complete List_09252026'!F183</f>
        <v>San Francisco</v>
      </c>
      <c r="E10" s="14" t="str">
        <f>'Complete List_09252026'!G183</f>
        <v>CA</v>
      </c>
      <c r="F10" s="14">
        <f>'Complete List_09252026'!H183</f>
        <v>94158</v>
      </c>
      <c r="G10" s="14" t="str">
        <f>'Complete List_09252026'!J183</f>
        <v>bettina.cohen@sonic.net</v>
      </c>
      <c r="H10" s="14" t="str">
        <f>'Complete List_09252026'!K183</f>
        <v>Both</v>
      </c>
      <c r="I10" s="14" t="str">
        <f>'Complete List_09252026'!L183</f>
        <v>South of Market, Potrero Hill</v>
      </c>
    </row>
    <row r="11" spans="1:10" s="26" customFormat="1" ht="18" customHeight="1" x14ac:dyDescent="0.25">
      <c r="A11" s="70" t="s">
        <v>1842</v>
      </c>
      <c r="B11" s="69"/>
      <c r="C11" s="69"/>
      <c r="D11" s="69"/>
      <c r="E11" s="69"/>
      <c r="F11" s="69"/>
      <c r="G11" s="69"/>
      <c r="H11" s="69"/>
      <c r="I11" s="69"/>
      <c r="J11" s="29"/>
    </row>
    <row r="12" spans="1:10" s="14" customFormat="1" ht="26.45" customHeight="1" x14ac:dyDescent="0.25">
      <c r="A12" s="14" t="str">
        <f>'Complete List_09252026'!D305</f>
        <v>Vermont 500 Block Neighborhood Association</v>
      </c>
      <c r="B12" s="14" t="str">
        <f>'Complete List_09252026'!C305</f>
        <v>M.  Parr</v>
      </c>
      <c r="C12" s="14" t="str">
        <f>'Complete List_09252026'!E305</f>
        <v>529 Vermont Street</v>
      </c>
      <c r="D12" s="14" t="str">
        <f>'Complete List_09252026'!F305</f>
        <v>San Francisco</v>
      </c>
      <c r="E12" s="14" t="str">
        <f>'Complete List_09252026'!G305</f>
        <v>CA</v>
      </c>
      <c r="F12" s="14">
        <f>'Complete List_09252026'!H305</f>
        <v>94107</v>
      </c>
      <c r="G12" s="14" t="str">
        <f>'Complete List_09252026'!J305</f>
        <v>Vermont500NA@gmail.com</v>
      </c>
      <c r="H12" s="14" t="str">
        <f>'Complete List_09252026'!K305</f>
        <v>Electronic</v>
      </c>
      <c r="I12" s="14" t="str">
        <f>'Complete List_09252026'!L305</f>
        <v>Potrero Hill</v>
      </c>
    </row>
    <row r="13" spans="1:10" s="14" customFormat="1" ht="26.45" customHeight="1" x14ac:dyDescent="0.25">
      <c r="A13" s="14" t="str">
        <f>'Complete List_09252026'!D84</f>
        <v>Dogpatch Neighborhood Association</v>
      </c>
      <c r="B13" s="14" t="str">
        <f>'Complete List_09252026'!C84</f>
        <v>Michael Berkowitz</v>
      </c>
      <c r="C13" s="14" t="str">
        <f>'Complete List_09252026'!E84</f>
        <v>1278 Minnesota Street</v>
      </c>
      <c r="D13" s="14" t="str">
        <f>'Complete List_09252026'!F84</f>
        <v>San Francisco</v>
      </c>
      <c r="E13" s="14" t="str">
        <f>'Complete List_09252026'!G84</f>
        <v>CA</v>
      </c>
      <c r="F13" s="14" t="str">
        <f>'Complete List_09252026'!H84</f>
        <v>94107</v>
      </c>
      <c r="G13" s="14" t="str">
        <f>'Complete List_09252026'!J84</f>
        <v>info@dogpatchna.org; president@dogpatchna.org</v>
      </c>
      <c r="H13" s="14" t="str">
        <f>'Complete List_09252026'!K84</f>
        <v>Electronic</v>
      </c>
      <c r="I13" s="14" t="str">
        <f>'Complete List_09252026'!L84</f>
        <v>Bayview, Mission, Potrero Hill, South of Market</v>
      </c>
    </row>
    <row r="14" spans="1:10" s="14" customFormat="1" ht="13.15" customHeight="1" x14ac:dyDescent="0.25">
      <c r="A14" s="14" t="str">
        <f>'Complete List_09252026'!D107</f>
        <v>Friends of Kansas Street</v>
      </c>
      <c r="B14" s="14" t="str">
        <f>'Complete List_09252026'!C107</f>
        <v>Scott Simons</v>
      </c>
      <c r="C14" s="14" t="str">
        <f>'Complete List_09252026'!E107</f>
        <v>903 Kansas Street #201</v>
      </c>
      <c r="D14" s="14" t="str">
        <f>'Complete List_09252026'!F107</f>
        <v>San Francisco</v>
      </c>
      <c r="E14" s="14" t="str">
        <f>'Complete List_09252026'!G107</f>
        <v>CA</v>
      </c>
      <c r="F14" s="14">
        <f>'Complete List_09252026'!H107</f>
        <v>94107</v>
      </c>
      <c r="G14" s="14" t="str">
        <f>'Complete List_09252026'!J107</f>
        <v>friendsofkansasstreet@gmail.com</v>
      </c>
      <c r="H14" s="14" t="str">
        <f>'Complete List_09252026'!K107</f>
        <v>Electronic</v>
      </c>
      <c r="I14" s="14" t="str">
        <f>'Complete List_09252026'!L107</f>
        <v>Potrero Hill</v>
      </c>
    </row>
    <row r="15" spans="1:10" s="14" customFormat="1" ht="26.45" customHeight="1" x14ac:dyDescent="0.25">
      <c r="A15" s="14" t="str">
        <f>'Complete List_09252026'!D119</f>
        <v>Greenaction for Health and Environmental Justice</v>
      </c>
      <c r="B15" s="14" t="str">
        <f>'Complete List_09252026'!C119</f>
        <v>Bradley Angel</v>
      </c>
      <c r="C15" s="14" t="str">
        <f>'Complete List_09252026'!E119</f>
        <v>315 Sutter Street, 2nd Floor</v>
      </c>
      <c r="D15" s="14" t="str">
        <f>'Complete List_09252026'!F119</f>
        <v>San Francisco</v>
      </c>
      <c r="E15" s="14" t="str">
        <f>'Complete List_09252026'!G119</f>
        <v>CA</v>
      </c>
      <c r="F15" s="14">
        <f>'Complete List_09252026'!H119</f>
        <v>94108</v>
      </c>
      <c r="G15" s="14" t="str">
        <f>'Complete List_09252026'!J119</f>
        <v>greenaction@greenaction.org</v>
      </c>
      <c r="H15" s="14" t="str">
        <f>'Complete List_09252026'!K119</f>
        <v>Electronic</v>
      </c>
      <c r="I15" s="14" t="str">
        <f>'Complete List_09252026'!L119</f>
        <v>Bayview, Mission, Potrero Hill, Visitacion Valley</v>
      </c>
    </row>
    <row r="16" spans="1:10" s="14" customFormat="1" ht="26.45" customHeight="1" x14ac:dyDescent="0.25">
      <c r="A16" s="14" t="str">
        <f>'Complete List_09252026'!D232</f>
        <v>Potrero Boosters Neigborhood Association</v>
      </c>
      <c r="B16" s="14" t="str">
        <f>'Complete List_09252026'!C232</f>
        <v>J.R. Eppler</v>
      </c>
      <c r="C16" s="14" t="str">
        <f>'Complete List_09252026'!E232</f>
        <v>1459 18th Street, Suite 133</v>
      </c>
      <c r="D16" s="14" t="str">
        <f>'Complete List_09252026'!F232</f>
        <v>San Francisco</v>
      </c>
      <c r="E16" s="14" t="str">
        <f>'Complete List_09252026'!G232</f>
        <v>CA</v>
      </c>
      <c r="F16" s="14">
        <f>'Complete List_09252026'!H232</f>
        <v>94107</v>
      </c>
      <c r="G16" s="14" t="str">
        <f>'Complete List_09252026'!J232</f>
        <v>president@potreroboosters.org</v>
      </c>
      <c r="H16" s="14" t="str">
        <f>'Complete List_09252026'!K232</f>
        <v>Electronic</v>
      </c>
      <c r="I16" s="14" t="str">
        <f>'Complete List_09252026'!L232</f>
        <v>Mission, Potrero Hill, South of Market</v>
      </c>
    </row>
    <row r="17" spans="1:9" s="14" customFormat="1" ht="13.15" customHeight="1" x14ac:dyDescent="0.25">
      <c r="A17" s="14" t="str">
        <f>'Complete List_09252026'!D248</f>
        <v>SF Bay View Newspaper</v>
      </c>
      <c r="B17" s="14" t="str">
        <f>'Complete List_09252026'!C248</f>
        <v>Nube Brown</v>
      </c>
      <c r="C17" s="14" t="str">
        <f>'Complete List_09252026'!E248</f>
        <v>4917 Third Street</v>
      </c>
      <c r="D17" s="14" t="str">
        <f>'Complete List_09252026'!F248</f>
        <v>San Francisco</v>
      </c>
      <c r="E17" s="14" t="str">
        <f>'Complete List_09252026'!G248</f>
        <v>CA</v>
      </c>
      <c r="F17" s="14" t="str">
        <f>'Complete List_09252026'!H248</f>
        <v>94124</v>
      </c>
      <c r="G17" s="14" t="str">
        <f>'Complete List_09252026'!J248</f>
        <v>editor@sfbayview.com</v>
      </c>
      <c r="H17" s="14" t="str">
        <f>'Complete List_09252026'!K248</f>
        <v>Electronic</v>
      </c>
      <c r="I17" s="14" t="str">
        <f>'Complete List_09252026'!L248</f>
        <v>Bayview, Potrero Hill, Visitacion Valley</v>
      </c>
    </row>
    <row r="18" spans="1:9" s="14" customFormat="1" ht="26.45" customHeight="1" x14ac:dyDescent="0.25">
      <c r="A18" s="14" t="str">
        <f>'Complete List_09252026'!D317</f>
        <v>Young Community Developers (YCD)</v>
      </c>
      <c r="B18" s="14" t="str">
        <f>'Complete List_09252026'!C317</f>
        <v>Zachary Weisenburger</v>
      </c>
      <c r="C18" s="14" t="str">
        <f>'Complete List_09252026'!E317</f>
        <v>1715 Yosemite Avenue</v>
      </c>
      <c r="D18" s="14" t="str">
        <f>'Complete List_09252026'!F317</f>
        <v>San Francisco</v>
      </c>
      <c r="E18" s="14" t="str">
        <f>'Complete List_09252026'!G317</f>
        <v>CA</v>
      </c>
      <c r="F18" s="14">
        <f>'Complete List_09252026'!H317</f>
        <v>94124</v>
      </c>
      <c r="G18" s="14" t="str">
        <f>'Complete List_09252026'!J317</f>
        <v xml:space="preserve"> zweisenburger@ycdjobs.org</v>
      </c>
      <c r="H18" s="14" t="str">
        <f>'Complete List_09252026'!K317</f>
        <v>Electronic</v>
      </c>
      <c r="I18" s="14" t="str">
        <f>'Complete List_09252026'!L317</f>
        <v>Bayview, Ocean View, Potrero Hill, Visitacion Valley</v>
      </c>
    </row>
    <row r="19" spans="1:9" ht="69" customHeight="1" x14ac:dyDescent="0.25">
      <c r="A19" s="6" t="s">
        <v>265</v>
      </c>
      <c r="B19" s="6" t="s">
        <v>264</v>
      </c>
      <c r="C19" s="6" t="s">
        <v>266</v>
      </c>
      <c r="D19" s="6" t="s">
        <v>16</v>
      </c>
      <c r="E19" s="6" t="s">
        <v>17</v>
      </c>
      <c r="F19" s="13">
        <v>94134</v>
      </c>
      <c r="G19" s="6" t="s">
        <v>268</v>
      </c>
      <c r="H19" s="6" t="s">
        <v>63</v>
      </c>
      <c r="I19" s="6" t="s">
        <v>269</v>
      </c>
    </row>
    <row r="20" spans="1:9" ht="55.15" customHeight="1" x14ac:dyDescent="0.25">
      <c r="A20" s="6" t="str">
        <f>'Complete List_09252026'!D177</f>
        <v>Mid-Market Neighbors</v>
      </c>
      <c r="B20" s="6" t="str">
        <f>'Complete List_09252026'!C177</f>
        <v>Chuck Obermeyer</v>
      </c>
      <c r="C20" s="6" t="str">
        <f>'Complete List_09252026'!E177</f>
        <v>30 7th Street</v>
      </c>
      <c r="D20" s="6" t="str">
        <f>'Complete List_09252026'!F177</f>
        <v>San Francisco</v>
      </c>
      <c r="E20" s="6" t="str">
        <f>'Complete List_09252026'!G177</f>
        <v>CA</v>
      </c>
      <c r="F20" s="6">
        <f>'Complete List_09252026'!H177</f>
        <v>94103</v>
      </c>
      <c r="G20" s="6" t="str">
        <f>'Complete List_09252026'!J177</f>
        <v>chuck@midmarketneighbors.org</v>
      </c>
      <c r="H20" s="6" t="str">
        <f>'Complete List_09252026'!K177</f>
        <v>Electronic</v>
      </c>
      <c r="I20" s="6" t="str">
        <f>'Complete List_09252026'!L177</f>
        <v>Castro/Upper Market, Chinatown, Downtown/Civic Center, Financial District, Nob Hill, Potrero Hill, South of Market, Western Addition</v>
      </c>
    </row>
    <row r="21" spans="1:9" ht="17.25" customHeight="1" x14ac:dyDescent="0.25">
      <c r="A21" s="6" t="str">
        <f>'Complete List_09252026'!D257</f>
        <v>SFCOV</v>
      </c>
      <c r="B21" s="6" t="str">
        <f>'Complete List_09252026'!C257</f>
        <v>Chris Lee</v>
      </c>
      <c r="C21" s="6" t="str">
        <f>'Complete List_09252026'!E257</f>
        <v>P.O. Box 883392</v>
      </c>
      <c r="D21" s="6" t="str">
        <f>'Complete List_09252026'!F257</f>
        <v>San Francisco</v>
      </c>
      <c r="E21" s="6" t="str">
        <f>'Complete List_09252026'!G257</f>
        <v>CA</v>
      </c>
      <c r="F21" s="13">
        <f>'Complete List_09252026'!H257</f>
        <v>94188</v>
      </c>
      <c r="G21" s="6" t="str">
        <f>'Complete List_09252026'!J257</f>
        <v>neighbor@sfcov.org</v>
      </c>
      <c r="H21" s="6" t="str">
        <f>'Complete List_09252026'!K257</f>
        <v>Electronic</v>
      </c>
      <c r="I21" s="6" t="str">
        <f>'Complete List_09252026'!L257</f>
        <v>Bernal Heights, Mission, Potrero Hill</v>
      </c>
    </row>
    <row r="22" spans="1:9" ht="81" customHeight="1" x14ac:dyDescent="0.25">
      <c r="A22" s="6" t="str">
        <f>'Complete List_09252026'!D154</f>
        <v>Liberation Alliance for Economic and Social Change</v>
      </c>
      <c r="B22" s="6" t="str">
        <f>'Complete List_09252026'!C154</f>
        <v>Keith Pavlik</v>
      </c>
      <c r="C22" s="6" t="str">
        <f>'Complete List_09252026'!E154</f>
        <v>2969 Mission Street</v>
      </c>
      <c r="D22" s="6" t="str">
        <f>'Complete List_09252026'!F154</f>
        <v>San Francisco</v>
      </c>
      <c r="E22" s="6" t="str">
        <f>'Complete List_09252026'!G154</f>
        <v>CA</v>
      </c>
      <c r="F22" s="6">
        <f>'Complete List_09252026'!H154</f>
        <v>94110</v>
      </c>
      <c r="G22" s="6" t="str">
        <f>'Complete List_09252026'!J154</f>
        <v>info@liberationalliance.org</v>
      </c>
      <c r="H22" s="6" t="str">
        <f>'Complete List_09252026'!K154</f>
        <v>Electronic</v>
      </c>
      <c r="I22" s="6" t="str">
        <f>'Complete List_09252026'!L154</f>
        <v>Bayview, Bernal Heights, Castro/Upper Market, Chinatown, Downtown/Civic Center, Excelsior, Mission, Nob Hill, Noe Valley, Outer Mission, Potrero Hill, South of Market, Western Addition</v>
      </c>
    </row>
    <row r="23" spans="1:9" ht="27.6" customHeight="1" x14ac:dyDescent="0.25">
      <c r="A23" s="6" t="str">
        <f>'Complete List_09252026'!D277</f>
        <v>Stand in Peace International</v>
      </c>
      <c r="B23" s="6" t="str">
        <f>'Complete List_09252026'!C277</f>
        <v>Shervon Hunter</v>
      </c>
      <c r="C23" s="6" t="str">
        <f>'Complete List_09252026'!E277</f>
        <v>45 Tioga Avenue</v>
      </c>
      <c r="D23" s="6" t="str">
        <f>'Complete List_09252026'!F277</f>
        <v>San Francisco</v>
      </c>
      <c r="E23" s="6" t="str">
        <f>'Complete List_09252026'!G277</f>
        <v>CA</v>
      </c>
      <c r="F23" s="13">
        <f>'Complete List_09252026'!H277</f>
        <v>94134</v>
      </c>
      <c r="G23" s="6" t="str">
        <f>'Complete List_09252026'!J277</f>
        <v>standinpeacecommunityprograms@gmail.com</v>
      </c>
      <c r="H23" s="6" t="str">
        <f>'Complete List_09252026'!K277</f>
        <v>Electronic</v>
      </c>
      <c r="I23" s="6" t="str">
        <f>'Complete List_09252026'!L277</f>
        <v>Bayview, Potrero Hill, Visitacion Valley</v>
      </c>
    </row>
    <row r="24" spans="1:9" ht="27.6" customHeight="1" x14ac:dyDescent="0.25">
      <c r="A24" s="6" t="str">
        <f>'Complete List_09252026'!D145</f>
        <v>Kansas Street SAFE Association</v>
      </c>
      <c r="B24" s="6" t="str">
        <f>'Complete List_09252026'!C145</f>
        <v>Ray O'Connor</v>
      </c>
      <c r="C24" s="6" t="str">
        <f>'Complete List_09252026'!E145</f>
        <v>1483 Kansas Street</v>
      </c>
      <c r="D24" s="6" t="str">
        <f>'Complete List_09252026'!F145</f>
        <v>San Francisco</v>
      </c>
      <c r="E24" s="6" t="str">
        <f>'Complete List_09252026'!G145</f>
        <v>CA</v>
      </c>
      <c r="F24" s="6">
        <f>'Complete List_09252026'!H145</f>
        <v>94107</v>
      </c>
      <c r="G24" s="6" t="str">
        <f>'Complete List_09252026'!J145</f>
        <v>kansas.safeassociation@gmail.com</v>
      </c>
      <c r="H24" s="6" t="str">
        <f>'Complete List_09252026'!K145</f>
        <v>Electronic</v>
      </c>
      <c r="I24" s="6" t="str">
        <f>'Complete List_09252026'!L145</f>
        <v>Potrero Hill</v>
      </c>
    </row>
    <row r="25" spans="1:9" ht="27.6" customHeight="1" x14ac:dyDescent="0.25">
      <c r="A25" s="6" t="str">
        <f>'Complete List_09252026'!D85</f>
        <v>Dogpatch Neighborhood Association</v>
      </c>
      <c r="B25" s="6" t="str">
        <f>'Complete List_09252026'!C85</f>
        <v>Donovan Lacy</v>
      </c>
      <c r="C25" s="6" t="str">
        <f>'Complete List_09252026'!E85</f>
        <v>1278 Minnesota Street</v>
      </c>
      <c r="D25" s="6" t="str">
        <f>'Complete List_09252026'!F85</f>
        <v>San Francisco</v>
      </c>
      <c r="E25" s="6" t="str">
        <f>'Complete List_09252026'!G85</f>
        <v>CA</v>
      </c>
      <c r="F25" s="6" t="str">
        <f>'Complete List_09252026'!H85</f>
        <v>94107</v>
      </c>
      <c r="G25" s="6" t="str">
        <f>'Complete List_09252026'!J85</f>
        <v>vp@dogpatchna.org</v>
      </c>
      <c r="H25" s="6" t="str">
        <f>'Complete List_09252026'!K85</f>
        <v>Electronic</v>
      </c>
      <c r="I25" s="6" t="str">
        <f>'Complete List_09252026'!L85</f>
        <v>Bayview, Mission, Potrero Hill, South of Market</v>
      </c>
    </row>
    <row r="26" spans="1:9" ht="27.6" customHeight="1" x14ac:dyDescent="0.25">
      <c r="A26" s="6" t="str">
        <f>'Complete List_09252026'!D84</f>
        <v>Dogpatch Neighborhood Association</v>
      </c>
      <c r="B26" s="6" t="str">
        <f>'Complete List_09252026'!C84</f>
        <v>Michael Berkowitz</v>
      </c>
      <c r="C26" s="6" t="str">
        <f>'Complete List_09252026'!E84</f>
        <v>1278 Minnesota Street</v>
      </c>
      <c r="D26" s="6" t="str">
        <f>'Complete List_09252026'!F84</f>
        <v>San Francisco</v>
      </c>
      <c r="E26" s="6" t="str">
        <f>'Complete List_09252026'!G84</f>
        <v>CA</v>
      </c>
      <c r="F26" s="6" t="str">
        <f>'Complete List_09252026'!H84</f>
        <v>94107</v>
      </c>
      <c r="G26" s="6" t="str">
        <f>'Complete List_09252026'!J84</f>
        <v>info@dogpatchna.org; president@dogpatchna.org</v>
      </c>
      <c r="H26" s="6" t="str">
        <f>'Complete List_09252026'!K84</f>
        <v>Electronic</v>
      </c>
      <c r="I26" s="6" t="str">
        <f>'Complete List_09252026'!L84</f>
        <v>Bayview, Mission, Potrero Hill, South of Market</v>
      </c>
    </row>
    <row r="27" spans="1:9" s="14" customFormat="1" ht="39.6" customHeight="1" x14ac:dyDescent="0.25">
      <c r="A27" s="14" t="str">
        <f>'Complete List_09252026'!D217</f>
        <v>OneBayview</v>
      </c>
      <c r="B27" s="14" t="str">
        <f>'Complete List_09252026'!C217</f>
        <v>Anietie Ekanem</v>
      </c>
      <c r="C27" s="14" t="str">
        <f>'Complete List_09252026'!E217</f>
        <v>5800 3rd Street #1320</v>
      </c>
      <c r="D27" s="14" t="str">
        <f>'Complete List_09252026'!F217</f>
        <v>San Francisco</v>
      </c>
      <c r="E27" s="14" t="str">
        <f>'Complete List_09252026'!G217</f>
        <v>CA</v>
      </c>
      <c r="F27" s="14">
        <f>'Complete List_09252026'!H217</f>
        <v>94124</v>
      </c>
      <c r="G27" s="14" t="str">
        <f>'Complete List_09252026'!J217</f>
        <v>sfplanningdepartment@onebayview.com
aekanem@onebayview.com</v>
      </c>
      <c r="H27" s="14" t="str">
        <f>'Complete List_09252026'!K217</f>
        <v>Electronic</v>
      </c>
      <c r="I27" s="14" t="str">
        <f>'Complete List_09252026'!L217</f>
        <v>Bayview, Crocker Amazon, Excelsior, Ocean View, Potrero Hill, Visitacion Valley</v>
      </c>
    </row>
    <row r="28" spans="1:9" ht="27.6" customHeight="1" x14ac:dyDescent="0.25">
      <c r="A28" s="6" t="str">
        <f>'Complete List_09252026'!D83</f>
        <v xml:space="preserve">Dogpatch &amp; NW Potrero Hill Green Benefit District </v>
      </c>
      <c r="B28" s="6" t="str">
        <f>'Complete List_09252026'!C83</f>
        <v>Donovan Lacy</v>
      </c>
      <c r="C28" s="6" t="str">
        <f>'Complete List_09252026'!E83</f>
        <v>1459 18th Street #369</v>
      </c>
      <c r="D28" s="6" t="str">
        <f>'Complete List_09252026'!F83</f>
        <v>San Francisco</v>
      </c>
      <c r="E28" s="6" t="str">
        <f>'Complete List_09252026'!G83</f>
        <v>CA</v>
      </c>
      <c r="F28" s="13">
        <f>'Complete List_09252026'!H83</f>
        <v>94107</v>
      </c>
      <c r="G28" s="6" t="str">
        <f>'Complete List_09252026'!J83</f>
        <v xml:space="preserve">info@greenbenefit.org; 
donovan@greenbenefit.org </v>
      </c>
      <c r="H28" s="6" t="str">
        <f>'Complete List_09252026'!K83</f>
        <v>Electronic</v>
      </c>
      <c r="I28" s="6" t="str">
        <f>'Complete List_09252026'!L83</f>
        <v xml:space="preserve">Mission, Potrero Hill </v>
      </c>
    </row>
  </sheetData>
  <autoFilter ref="A1:I1" xr:uid="{00000000-0009-0000-0000-00001C000000}">
    <sortState xmlns:xlrd2="http://schemas.microsoft.com/office/spreadsheetml/2017/richdata2" ref="A2:I17">
      <sortCondition descending="1" ref="H1"/>
    </sortState>
  </autoFilter>
  <mergeCells count="3">
    <mergeCell ref="A11:I11"/>
    <mergeCell ref="A8:I8"/>
    <mergeCell ref="A2:I2"/>
  </mergeCells>
  <pageMargins left="0.7" right="0.7" top="0.75" bottom="0.75" header="0.3" footer="0.3"/>
  <pageSetup scale="53" orientation="landscape" horizontalDpi="4294967292" verticalDpi="429496729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J9"/>
  <sheetViews>
    <sheetView zoomScale="75" zoomScaleNormal="75" zoomScalePageLayoutView="75" workbookViewId="0">
      <selection activeCell="A5" sqref="A5:XFD5"/>
    </sheetView>
  </sheetViews>
  <sheetFormatPr defaultColWidth="8.85546875" defaultRowHeight="14.25" x14ac:dyDescent="0.25"/>
  <cols>
    <col min="1" max="1" width="37.7109375" style="6" customWidth="1"/>
    <col min="2" max="2" width="25.42578125" style="6" customWidth="1"/>
    <col min="3" max="3" width="32.140625" style="6" customWidth="1"/>
    <col min="4" max="4" width="15.28515625" style="6" customWidth="1"/>
    <col min="5" max="5" width="8.85546875" style="6" customWidth="1"/>
    <col min="6" max="6" width="8.85546875" style="13" customWidth="1"/>
    <col min="7" max="8" width="27.7109375" style="6" customWidth="1"/>
    <col min="9" max="9" width="40.42578125" style="6" customWidth="1"/>
    <col min="10" max="10" width="8.85546875" style="6" customWidth="1"/>
    <col min="11" max="16384" width="8.85546875" style="6"/>
  </cols>
  <sheetData>
    <row r="1" spans="1:10" s="4" customFormat="1" ht="18" customHeight="1" x14ac:dyDescent="0.25">
      <c r="A1" s="4" t="s">
        <v>3</v>
      </c>
      <c r="B1" s="4" t="str">
        <f>'Complete List_09252026'!C1</f>
        <v>NAME</v>
      </c>
      <c r="C1" s="4" t="str">
        <f>'Complete List_09252026'!E1</f>
        <v>ADDRESS</v>
      </c>
      <c r="D1" s="4" t="str">
        <f>'Complete List_09252026'!F1</f>
        <v>CITY</v>
      </c>
      <c r="E1" s="4" t="str">
        <f>'Complete List_09252026'!G1</f>
        <v>STATE</v>
      </c>
      <c r="F1" s="10" t="str">
        <f>'Complete List_09252026'!H1</f>
        <v>ZIP</v>
      </c>
      <c r="G1" s="4" t="str">
        <f>'Complete List_09252026'!J1</f>
        <v>EMAIL</v>
      </c>
      <c r="H1" s="4" t="s">
        <v>10</v>
      </c>
      <c r="I1" s="4" t="str">
        <f>'Complete List_09252026'!L1</f>
        <v>NEIGHBORHOOD OF INTEREST</v>
      </c>
    </row>
    <row r="2" spans="1:10" s="26" customFormat="1" ht="18" customHeight="1" x14ac:dyDescent="0.25">
      <c r="A2" s="71" t="s">
        <v>1835</v>
      </c>
      <c r="B2" s="69"/>
      <c r="C2" s="69"/>
      <c r="D2" s="69"/>
      <c r="E2" s="69"/>
      <c r="F2" s="69"/>
      <c r="G2" s="69"/>
      <c r="H2" s="69"/>
      <c r="I2" s="69"/>
      <c r="J2" s="28"/>
    </row>
    <row r="3" spans="1:10" s="14" customFormat="1" ht="39.6" customHeight="1" x14ac:dyDescent="0.25">
      <c r="A3" s="14" t="str">
        <f>'Complete List_09252026'!D129</f>
        <v>HERE Local 2</v>
      </c>
      <c r="B3" s="14" t="str">
        <f>'Complete List_09252026'!C129</f>
        <v>Ian Lewis</v>
      </c>
      <c r="C3" s="14" t="str">
        <f>'Complete List_09252026'!E129</f>
        <v>209 Golden Gate Avenue</v>
      </c>
      <c r="D3" s="14" t="str">
        <f>'Complete List_09252026'!F129</f>
        <v>San Francisco</v>
      </c>
      <c r="E3" s="14" t="str">
        <f>'Complete List_09252026'!G129</f>
        <v>CA</v>
      </c>
      <c r="F3" s="14" t="str">
        <f>'Complete List_09252026'!H129</f>
        <v>94102</v>
      </c>
      <c r="G3" s="14">
        <f>'Complete List_09252026'!J129</f>
        <v>0</v>
      </c>
      <c r="H3" s="14" t="str">
        <f>'Complete List_09252026'!K129</f>
        <v>Physical</v>
      </c>
      <c r="I3" s="14" t="str">
        <f>'Complete List_09252026'!L129</f>
        <v>Chinatown, Downtown/Civic Center, Marina, Mission, Nob Hill, North Beach, Pacific Heights, Presidio, South of Market</v>
      </c>
    </row>
    <row r="4" spans="1:10" s="14" customFormat="1" ht="39.6" customHeight="1" x14ac:dyDescent="0.25">
      <c r="A4" s="14" t="str">
        <f>'Complete List_09252026'!D212</f>
        <v>Oak Grove Group</v>
      </c>
      <c r="B4" s="14" t="str">
        <f>'Complete List_09252026'!C212</f>
        <v>Billy Lee</v>
      </c>
      <c r="C4" s="14" t="str">
        <f>'Complete List_09252026'!E212</f>
        <v>2505 Oak Street</v>
      </c>
      <c r="D4" s="14" t="str">
        <f>'Complete List_09252026'!F212</f>
        <v>Napa</v>
      </c>
      <c r="E4" s="14" t="str">
        <f>'Complete List_09252026'!G212</f>
        <v>CA</v>
      </c>
      <c r="F4" s="14">
        <f>'Complete List_09252026'!H212</f>
        <v>94559</v>
      </c>
      <c r="G4" s="14" t="str">
        <f>'Complete List_09252026'!J212</f>
        <v>leeway_e@yahoo.com</v>
      </c>
      <c r="H4" s="14" t="str">
        <f>'Complete List_09252026'!K212</f>
        <v>Physical</v>
      </c>
      <c r="I4" s="14" t="str">
        <f>'Complete List_09252026'!L212</f>
        <v>Pacific Heights, Russian Hill, Marina, Nob Hill, Presidio, Presidio Heights, Sea Cliff, Noe Valley, Western Addition</v>
      </c>
    </row>
    <row r="5" spans="1:10" s="14" customFormat="1" ht="17.45" customHeight="1" x14ac:dyDescent="0.25">
      <c r="A5" s="68" t="s">
        <v>1836</v>
      </c>
      <c r="B5" s="72"/>
      <c r="C5" s="72"/>
      <c r="D5" s="72"/>
      <c r="E5" s="72"/>
      <c r="F5" s="72"/>
      <c r="G5" s="72"/>
      <c r="H5" s="72"/>
      <c r="I5" s="72"/>
    </row>
    <row r="6" spans="1:10" s="14" customFormat="1" ht="39.6" customHeight="1" x14ac:dyDescent="0.25">
      <c r="A6" s="14" t="str">
        <f>'Complete List_09252026'!D41</f>
        <v>Board of Supervisors</v>
      </c>
      <c r="B6" s="14" t="str">
        <f>'Complete List_09252026'!C41</f>
        <v>Stephen Sherrill</v>
      </c>
      <c r="C6" s="14" t="str">
        <f>'Complete List_09252026'!E41</f>
        <v>1 Dr. Carlton B Goodlett Place, Room #244</v>
      </c>
      <c r="D6" s="14" t="str">
        <f>'Complete List_09252026'!F41</f>
        <v>San Francisco</v>
      </c>
      <c r="E6" s="14" t="str">
        <f>'Complete List_09252026'!G41</f>
        <v>CA</v>
      </c>
      <c r="F6" s="14" t="str">
        <f>'Complete List_09252026'!H41</f>
        <v>94102-4689</v>
      </c>
      <c r="G6" s="14" t="str">
        <f>'Complete List_09252026'!J41</f>
        <v>SherrillStaff@sfgov.org; 
Lorenzo.Rosas@sfgov.org</v>
      </c>
      <c r="H6" s="14" t="str">
        <f>'Complete List_09252026'!K41</f>
        <v>Both</v>
      </c>
      <c r="I6" s="14" t="str">
        <f>'Complete List_09252026'!L41</f>
        <v>Marina, Pacific Heights, Presidio, Presidio Heights, Russian Hill, Seacliff, Western Addition</v>
      </c>
    </row>
    <row r="7" spans="1:10" s="26" customFormat="1" ht="18" customHeight="1" x14ac:dyDescent="0.25">
      <c r="A7" s="70" t="s">
        <v>1842</v>
      </c>
      <c r="B7" s="69"/>
      <c r="C7" s="69"/>
      <c r="D7" s="69"/>
      <c r="E7" s="69"/>
      <c r="F7" s="69"/>
      <c r="G7" s="69"/>
      <c r="H7" s="69"/>
      <c r="I7" s="69"/>
      <c r="J7" s="29"/>
    </row>
    <row r="8" spans="1:10" s="14" customFormat="1" ht="26.45" customHeight="1" x14ac:dyDescent="0.25">
      <c r="A8" s="14" t="str">
        <f>'Complete List_09252026'!D167</f>
        <v>Marina Community Association</v>
      </c>
      <c r="B8" s="14" t="str">
        <f>'Complete List_09252026'!C167</f>
        <v>Neighborhood Planning Committee</v>
      </c>
      <c r="C8" s="14" t="str">
        <f>'Complete List_09252026'!E167</f>
        <v>1517 North Point Street, #465</v>
      </c>
      <c r="D8" s="14" t="str">
        <f>'Complete List_09252026'!F167</f>
        <v>San Francisco</v>
      </c>
      <c r="E8" s="14" t="str">
        <f>'Complete List_09252026'!G167</f>
        <v>CA</v>
      </c>
      <c r="F8" s="14">
        <f>'Complete List_09252026'!H167</f>
        <v>94123</v>
      </c>
      <c r="G8" s="14" t="str">
        <f>'Complete List_09252026'!J167</f>
        <v>cbeckman@sfmca.org</v>
      </c>
      <c r="H8" s="14" t="str">
        <f>'Complete List_09252026'!K167</f>
        <v>Electronic</v>
      </c>
      <c r="I8" s="14" t="str">
        <f>'Complete List_09252026'!L167</f>
        <v>Marina, Presidio</v>
      </c>
    </row>
    <row r="9" spans="1:10" ht="39.6" customHeight="1" x14ac:dyDescent="0.25">
      <c r="A9" s="11" t="str">
        <f>'Complete List_09252026'!D210</f>
        <v>Northern Neighbors</v>
      </c>
      <c r="B9" s="11" t="str">
        <f>'Complete List_09252026'!C210</f>
        <v>Michael Chen</v>
      </c>
      <c r="C9" s="11" t="str">
        <f>'Complete List_09252026'!E210</f>
        <v>2655 Bush St. Apt. 303</v>
      </c>
      <c r="D9" s="11" t="str">
        <f>'Complete List_09252026'!F210</f>
        <v>San Francisco</v>
      </c>
      <c r="E9" s="11" t="str">
        <f>'Complete List_09252026'!G210</f>
        <v>CA</v>
      </c>
      <c r="F9" s="11">
        <f>'Complete List_09252026'!H210</f>
        <v>94115</v>
      </c>
      <c r="G9" s="11" t="str">
        <f>'Complete List_09252026'!J210</f>
        <v>hello@northernneighbors.org</v>
      </c>
      <c r="H9" s="11" t="str">
        <f>'Complete List_09252026'!K210</f>
        <v>Electronic</v>
      </c>
      <c r="I9" s="11" t="str">
        <f>'Complete List_09252026'!L210</f>
        <v>Chinatown, Financial District, Nob Hill, North Beach, Pacific Heights, Presidio, Presidio Heights, Russian Hill, Seacliff</v>
      </c>
    </row>
  </sheetData>
  <autoFilter ref="A1:I1" xr:uid="{00000000-0009-0000-0000-00001D000000}">
    <sortState xmlns:xlrd2="http://schemas.microsoft.com/office/spreadsheetml/2017/richdata2" ref="A2:I6">
      <sortCondition ref="H1"/>
    </sortState>
  </autoFilter>
  <mergeCells count="3">
    <mergeCell ref="A5:I5"/>
    <mergeCell ref="A2:I2"/>
    <mergeCell ref="A7:I7"/>
  </mergeCells>
  <pageMargins left="0.7" right="0.7" top="0.75" bottom="0.75" header="0.3" footer="0.3"/>
  <pageSetup scale="52" orientation="landscape"/>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J15"/>
  <sheetViews>
    <sheetView zoomScale="75" zoomScaleNormal="75" zoomScalePageLayoutView="75" workbookViewId="0">
      <selection activeCell="A5" sqref="A5:XFD5"/>
    </sheetView>
  </sheetViews>
  <sheetFormatPr defaultColWidth="8.85546875" defaultRowHeight="14.25" x14ac:dyDescent="0.25"/>
  <cols>
    <col min="1" max="1" width="34.140625" style="6" customWidth="1"/>
    <col min="2" max="2" width="20.7109375" style="6" customWidth="1"/>
    <col min="3" max="3" width="32" style="6" customWidth="1"/>
    <col min="4" max="4" width="16" style="6" customWidth="1"/>
    <col min="5" max="5" width="8.85546875" style="6" customWidth="1"/>
    <col min="6" max="6" width="8.85546875" style="13" customWidth="1"/>
    <col min="7" max="8" width="28.85546875" style="6" customWidth="1"/>
    <col min="9" max="9" width="41.140625" style="6" customWidth="1"/>
    <col min="10" max="10" width="8.85546875" style="6" customWidth="1"/>
    <col min="11" max="16384" width="8.85546875" style="6"/>
  </cols>
  <sheetData>
    <row r="1" spans="1:10" s="4" customFormat="1" ht="18" customHeight="1" x14ac:dyDescent="0.25">
      <c r="A1" s="4" t="s">
        <v>3</v>
      </c>
      <c r="B1" s="4" t="str">
        <f>'Complete List_09252026'!C1</f>
        <v>NAME</v>
      </c>
      <c r="C1" s="4" t="str">
        <f>'Complete List_09252026'!E1</f>
        <v>ADDRESS</v>
      </c>
      <c r="D1" s="4" t="str">
        <f>'Complete List_09252026'!F1</f>
        <v>CITY</v>
      </c>
      <c r="E1" s="4" t="str">
        <f>'Complete List_09252026'!G1</f>
        <v>STATE</v>
      </c>
      <c r="F1" s="10" t="str">
        <f>'Complete List_09252026'!H1</f>
        <v>ZIP</v>
      </c>
      <c r="G1" s="4" t="str">
        <f>'Complete List_09252026'!J1</f>
        <v>EMAIL</v>
      </c>
      <c r="H1" s="4" t="s">
        <v>10</v>
      </c>
      <c r="I1" s="4" t="str">
        <f>'Complete List_09252026'!L1</f>
        <v>NEIGHBORHOOD OF INTEREST</v>
      </c>
    </row>
    <row r="2" spans="1:10" s="26" customFormat="1" ht="18" customHeight="1" x14ac:dyDescent="0.25">
      <c r="A2" s="71" t="s">
        <v>1835</v>
      </c>
      <c r="B2" s="69"/>
      <c r="C2" s="69"/>
      <c r="D2" s="69"/>
      <c r="E2" s="69"/>
      <c r="F2" s="69"/>
      <c r="G2" s="69"/>
      <c r="H2" s="69"/>
      <c r="I2" s="69"/>
      <c r="J2" s="28"/>
    </row>
    <row r="3" spans="1:10" s="14" customFormat="1" ht="39.6" customHeight="1" x14ac:dyDescent="0.25">
      <c r="A3" s="14" t="str">
        <f>'Complete List_09252026'!D212</f>
        <v>Oak Grove Group</v>
      </c>
      <c r="B3" s="14" t="str">
        <f>'Complete List_09252026'!C212</f>
        <v>Billy Lee</v>
      </c>
      <c r="C3" s="14" t="str">
        <f>'Complete List_09252026'!E212</f>
        <v>2505 Oak Street</v>
      </c>
      <c r="D3" s="14" t="str">
        <f>'Complete List_09252026'!F212</f>
        <v>Napa</v>
      </c>
      <c r="E3" s="14" t="str">
        <f>'Complete List_09252026'!G212</f>
        <v>CA</v>
      </c>
      <c r="F3" s="14">
        <f>'Complete List_09252026'!H212</f>
        <v>94559</v>
      </c>
      <c r="G3" s="14" t="str">
        <f>'Complete List_09252026'!J212</f>
        <v>leeway_e@yahoo.com</v>
      </c>
      <c r="H3" s="14" t="str">
        <f>'Complete List_09252026'!K212</f>
        <v>Physical</v>
      </c>
      <c r="I3" s="14" t="str">
        <f>'Complete List_09252026'!L212</f>
        <v>Pacific Heights, Russian Hill, Marina, Nob Hill, Presidio, Presidio Heights, Sea Cliff, Noe Valley, Western Addition</v>
      </c>
    </row>
    <row r="4" spans="1:10" s="14" customFormat="1" ht="26.45" customHeight="1" x14ac:dyDescent="0.25">
      <c r="A4" s="14" t="str">
        <f>'Complete List_09252026'!D241</f>
        <v>Sacramento Street Merchant Association</v>
      </c>
      <c r="B4" s="14" t="str">
        <f>'Complete List_09252026'!C241</f>
        <v>Traci Teraoka</v>
      </c>
      <c r="C4" s="14" t="str">
        <f>'Complete List_09252026'!E241</f>
        <v>3461 Sacramento Street</v>
      </c>
      <c r="D4" s="14" t="str">
        <f>'Complete List_09252026'!F241</f>
        <v>San Francisco</v>
      </c>
      <c r="E4" s="14" t="str">
        <f>'Complete List_09252026'!G241</f>
        <v>CA</v>
      </c>
      <c r="F4" s="14">
        <f>'Complete List_09252026'!H241</f>
        <v>94118</v>
      </c>
      <c r="G4" s="14" t="str">
        <f>'Complete List_09252026'!J241</f>
        <v xml:space="preserve">traciteraoka@me.com
</v>
      </c>
      <c r="H4" s="14" t="str">
        <f>'Complete List_09252026'!K241</f>
        <v>Physical</v>
      </c>
      <c r="I4" s="14" t="str">
        <f>'Complete List_09252026'!L241</f>
        <v>Presidio Heights</v>
      </c>
    </row>
    <row r="5" spans="1:10" s="14" customFormat="1" ht="26.45" customHeight="1" x14ac:dyDescent="0.25">
      <c r="A5" s="14" t="str">
        <f>'Complete List_09252026'!D151</f>
        <v>Laurel Heights Improvement Association of SF, Inc.</v>
      </c>
      <c r="B5" s="14" t="str">
        <f>'Complete List_09252026'!C151</f>
        <v>Kathryn Devincenzi</v>
      </c>
      <c r="C5" s="14" t="str">
        <f>'Complete List_09252026'!E151</f>
        <v>22 Iris Avenue</v>
      </c>
      <c r="D5" s="14" t="str">
        <f>'Complete List_09252026'!F151</f>
        <v>San Francisco</v>
      </c>
      <c r="E5" s="14" t="str">
        <f>'Complete List_09252026'!G151</f>
        <v>CA</v>
      </c>
      <c r="F5" s="14">
        <f>'Complete List_09252026'!H151</f>
        <v>94118</v>
      </c>
      <c r="G5" s="14" t="str">
        <f>'Complete List_09252026'!J151</f>
        <v>KRDevincenzi@gmail.com</v>
      </c>
      <c r="H5" s="14" t="str">
        <f>'Complete List_09252026'!K151</f>
        <v>Physical</v>
      </c>
      <c r="I5" s="14" t="str">
        <f>'Complete List_09252026'!L151</f>
        <v>Inner Richmond, Pacific Heights, Presidio Heights</v>
      </c>
    </row>
    <row r="6" spans="1:10" s="14" customFormat="1" ht="26.45" customHeight="1" x14ac:dyDescent="0.25">
      <c r="A6" s="14" t="str">
        <f>'Complete List_09252026'!D144</f>
        <v>Jordan Park Improvement Assocation</v>
      </c>
      <c r="B6" s="14" t="str">
        <f>'Complete List_09252026'!C144</f>
        <v>Rose Hillson</v>
      </c>
      <c r="C6" s="14" t="str">
        <f>'Complete List_09252026'!E144</f>
        <v>115 Parker Avenue</v>
      </c>
      <c r="D6" s="14" t="str">
        <f>'Complete List_09252026'!F144</f>
        <v>San Francisco</v>
      </c>
      <c r="E6" s="14" t="str">
        <f>'Complete List_09252026'!G144</f>
        <v>CA</v>
      </c>
      <c r="F6" s="14" t="str">
        <f>'Complete List_09252026'!H144</f>
        <v>94118-2607</v>
      </c>
      <c r="G6" s="14">
        <f>'Complete List_09252026'!J144</f>
        <v>0</v>
      </c>
      <c r="H6" s="14" t="str">
        <f>'Complete List_09252026'!K144</f>
        <v>Physical</v>
      </c>
      <c r="I6" s="14" t="str">
        <f>'Complete List_09252026'!L144</f>
        <v>Inner Richmond, Marina, Pacific Heights, Presidio Heights, Outer Richmond, Seacliff</v>
      </c>
    </row>
    <row r="7" spans="1:10" s="14" customFormat="1" ht="26.45" customHeight="1" x14ac:dyDescent="0.25">
      <c r="A7" s="14" t="str">
        <f>'Complete List_09252026'!D289</f>
        <v>Temescal Terrace Association</v>
      </c>
      <c r="B7" s="14" t="str">
        <f>'Complete List_09252026'!C289</f>
        <v>Richard Rabbitt</v>
      </c>
      <c r="C7" s="14" t="str">
        <f>'Complete List_09252026'!E289</f>
        <v>55 Temescal Terrace</v>
      </c>
      <c r="D7" s="14" t="str">
        <f>'Complete List_09252026'!F289</f>
        <v>San Francisco</v>
      </c>
      <c r="E7" s="14" t="str">
        <f>'Complete List_09252026'!G289</f>
        <v>CA</v>
      </c>
      <c r="F7" s="14" t="str">
        <f>'Complete List_09252026'!H289</f>
        <v>94118</v>
      </c>
      <c r="G7" s="14" t="str">
        <f>'Complete List_09252026'!J289</f>
        <v>richard.rabbitt@stanfordalumni.org</v>
      </c>
      <c r="H7" s="14" t="str">
        <f>'Complete List_09252026'!K289</f>
        <v>Physical</v>
      </c>
      <c r="I7" s="14" t="str">
        <f>'Complete List_09252026'!L289</f>
        <v>Haight Ashbury, Inner Richmond, Presidio Heights, Western Addition</v>
      </c>
    </row>
    <row r="8" spans="1:10" s="14" customFormat="1" ht="17.45" customHeight="1" x14ac:dyDescent="0.25">
      <c r="A8" s="68" t="s">
        <v>1836</v>
      </c>
      <c r="B8" s="72"/>
      <c r="C8" s="72"/>
      <c r="D8" s="72"/>
      <c r="E8" s="72"/>
      <c r="F8" s="72"/>
      <c r="G8" s="72"/>
      <c r="H8" s="72"/>
      <c r="I8" s="72"/>
    </row>
    <row r="9" spans="1:10" s="14" customFormat="1" ht="26.45" customHeight="1" x14ac:dyDescent="0.25">
      <c r="A9" s="14" t="str">
        <f>'Complete List_09252026'!D41</f>
        <v>Board of Supervisors</v>
      </c>
      <c r="B9" s="14" t="str">
        <f>'Complete List_09252026'!C41</f>
        <v>Stephen Sherrill</v>
      </c>
      <c r="C9" s="14" t="str">
        <f>'Complete List_09252026'!E41</f>
        <v>1 Dr. Carlton B Goodlett Place, Room #244</v>
      </c>
      <c r="D9" s="14" t="str">
        <f>'Complete List_09252026'!F41</f>
        <v>San Francisco</v>
      </c>
      <c r="E9" s="14" t="str">
        <f>'Complete List_09252026'!G41</f>
        <v>CA</v>
      </c>
      <c r="F9" s="14" t="str">
        <f>'Complete List_09252026'!H41</f>
        <v>94102-4689</v>
      </c>
      <c r="G9" s="14" t="str">
        <f>'Complete List_09252026'!J41</f>
        <v>SherrillStaff@sfgov.org; 
Lorenzo.Rosas@sfgov.org</v>
      </c>
      <c r="H9" s="14" t="str">
        <f>'Complete List_09252026'!K41</f>
        <v>Both</v>
      </c>
      <c r="I9" s="14" t="str">
        <f>'Complete List_09252026'!L41</f>
        <v>Marina, Pacific Heights, Presidio, Presidio Heights, Russian Hill, Seacliff, Western Addition</v>
      </c>
    </row>
    <row r="10" spans="1:10" s="26" customFormat="1" ht="18" customHeight="1" x14ac:dyDescent="0.25">
      <c r="A10" s="70" t="s">
        <v>1842</v>
      </c>
      <c r="B10" s="69"/>
      <c r="C10" s="69"/>
      <c r="D10" s="69"/>
      <c r="E10" s="69"/>
      <c r="F10" s="69"/>
      <c r="G10" s="69"/>
      <c r="H10" s="69"/>
      <c r="I10" s="69"/>
      <c r="J10" s="29"/>
    </row>
    <row r="11" spans="1:10" s="14" customFormat="1" ht="26.45" customHeight="1" x14ac:dyDescent="0.25">
      <c r="A11" s="14" t="str">
        <f>'Complete List_09252026'!D49</f>
        <v>California-Locust Block Neighbors Group</v>
      </c>
      <c r="B11" s="14" t="str">
        <f>'Complete List_09252026'!C49</f>
        <v>Alex Thompson</v>
      </c>
      <c r="C11" s="14" t="str">
        <f>'Complete List_09252026'!E49</f>
        <v>433 Locust St.</v>
      </c>
      <c r="D11" s="14" t="str">
        <f>'Complete List_09252026'!F49</f>
        <v>San Francisco</v>
      </c>
      <c r="E11" s="14" t="str">
        <f>'Complete List_09252026'!G49</f>
        <v>CA</v>
      </c>
      <c r="F11" s="14">
        <f>'Complete List_09252026'!H49</f>
        <v>94118</v>
      </c>
      <c r="G11" s="14" t="str">
        <f>'Complete List_09252026'!J49</f>
        <v>alexwt@me.com</v>
      </c>
      <c r="H11" s="14" t="str">
        <f>'Complete List_09252026'!K49</f>
        <v>Electronic</v>
      </c>
      <c r="I11" s="14" t="str">
        <f>'Complete List_09252026'!L49</f>
        <v>Presidio Heights</v>
      </c>
    </row>
    <row r="12" spans="1:10" s="14" customFormat="1" ht="13.15" customHeight="1" x14ac:dyDescent="0.25">
      <c r="A12" s="14" t="str">
        <f>'Complete List_09252026'!D101</f>
        <v>Fillmore Merchants Association</v>
      </c>
      <c r="B12" s="14" t="str">
        <f>'Complete List_09252026'!C101</f>
        <v>Patti Mangan</v>
      </c>
      <c r="C12" s="14" t="str">
        <f>'Complete List_09252026'!E101</f>
        <v>2443 Fillmore Street, #198</v>
      </c>
      <c r="D12" s="14" t="str">
        <f>'Complete List_09252026'!F101</f>
        <v>San Francisco</v>
      </c>
      <c r="E12" s="14" t="str">
        <f>'Complete List_09252026'!G101</f>
        <v>CA</v>
      </c>
      <c r="F12" s="14">
        <f>'Complete List_09252026'!H101</f>
        <v>94115</v>
      </c>
      <c r="G12" s="14" t="str">
        <f>'Complete List_09252026'!J101</f>
        <v>fma@fillmorestreetsf.com</v>
      </c>
      <c r="H12" s="14" t="str">
        <f>'Complete List_09252026'!K101</f>
        <v>Electronic</v>
      </c>
      <c r="I12" s="14" t="str">
        <f>'Complete List_09252026'!L101</f>
        <v>Pacific Heights, Western Addition</v>
      </c>
    </row>
    <row r="13" spans="1:10" s="14" customFormat="1" ht="26.45" customHeight="1" x14ac:dyDescent="0.25">
      <c r="A13" s="14" t="str">
        <f>'Complete List_09252026'!D120</f>
        <v>Grow the Richmond</v>
      </c>
      <c r="B13" s="14" t="str">
        <f>'Complete List_09252026'!C120</f>
        <v>Jane Natoli</v>
      </c>
      <c r="C13" s="14" t="str">
        <f>'Complete List_09252026'!E120</f>
        <v>759 6th Ave #7</v>
      </c>
      <c r="D13" s="14" t="str">
        <f>'Complete List_09252026'!F120</f>
        <v>San Francisco</v>
      </c>
      <c r="E13" s="14" t="str">
        <f>'Complete List_09252026'!G120</f>
        <v>CA</v>
      </c>
      <c r="F13" s="14">
        <f>'Complete List_09252026'!H120</f>
        <v>94118</v>
      </c>
      <c r="G13" s="14" t="str">
        <f>'Complete List_09252026'!J120</f>
        <v>hello@growtherichmond.com</v>
      </c>
      <c r="H13" s="14" t="str">
        <f>'Complete List_09252026'!K120</f>
        <v>Electronic</v>
      </c>
      <c r="I13" s="14" t="str">
        <f>'Complete List_09252026'!L120</f>
        <v>Inner Richmond, Outer Richmond, Presidio Heights, Seacliff</v>
      </c>
    </row>
    <row r="14" spans="1:10" s="14" customFormat="1" ht="26.45" customHeight="1" x14ac:dyDescent="0.25">
      <c r="A14" s="14" t="str">
        <f>'Complete List_09252026'!D234</f>
        <v>Presidio Heights Association of Neighbors</v>
      </c>
      <c r="B14" s="14" t="str">
        <f>'Complete List_09252026'!C234</f>
        <v>Ron Blatman</v>
      </c>
      <c r="C14" s="14" t="str">
        <f>'Complete List_09252026'!E234</f>
        <v>3844 Clay Street</v>
      </c>
      <c r="D14" s="14" t="str">
        <f>'Complete List_09252026'!F234</f>
        <v>San Francisco</v>
      </c>
      <c r="E14" s="14" t="str">
        <f>'Complete List_09252026'!G234</f>
        <v>CA</v>
      </c>
      <c r="F14" s="14" t="str">
        <f>'Complete List_09252026'!H234</f>
        <v>94118-1616</v>
      </c>
      <c r="G14" s="14" t="str">
        <f>'Complete List_09252026'!J234</f>
        <v>ronblatman@gmail.com</v>
      </c>
      <c r="H14" s="14" t="str">
        <f>'Complete List_09252026'!K234</f>
        <v>Electronic</v>
      </c>
      <c r="I14" s="14" t="str">
        <f>'Complete List_09252026'!L234</f>
        <v>Presidio Heights</v>
      </c>
    </row>
    <row r="15" spans="1:10" ht="39.6" customHeight="1" x14ac:dyDescent="0.25">
      <c r="A15" s="11" t="str">
        <f>'Complete List_09252026'!D210</f>
        <v>Northern Neighbors</v>
      </c>
      <c r="B15" s="11" t="str">
        <f>'Complete List_09252026'!C210</f>
        <v>Michael Chen</v>
      </c>
      <c r="C15" s="11" t="str">
        <f>'Complete List_09252026'!E210</f>
        <v>2655 Bush St. Apt. 303</v>
      </c>
      <c r="D15" s="11" t="str">
        <f>'Complete List_09252026'!F210</f>
        <v>San Francisco</v>
      </c>
      <c r="E15" s="11" t="str">
        <f>'Complete List_09252026'!G210</f>
        <v>CA</v>
      </c>
      <c r="F15" s="11">
        <f>'Complete List_09252026'!H210</f>
        <v>94115</v>
      </c>
      <c r="G15" s="11" t="str">
        <f>'Complete List_09252026'!J210</f>
        <v>hello@northernneighbors.org</v>
      </c>
      <c r="H15" s="11" t="str">
        <f>'Complete List_09252026'!K210</f>
        <v>Electronic</v>
      </c>
      <c r="I15" s="14" t="str">
        <f>'Complete List_09252026'!L210</f>
        <v>Chinatown, Financial District, Nob Hill, North Beach, Pacific Heights, Presidio, Presidio Heights, Russian Hill, Seacliff</v>
      </c>
    </row>
  </sheetData>
  <autoFilter ref="A1:I1" xr:uid="{00000000-0009-0000-0000-00001E000000}">
    <sortState xmlns:xlrd2="http://schemas.microsoft.com/office/spreadsheetml/2017/richdata2" ref="A2:I12">
      <sortCondition descending="1" ref="H1"/>
    </sortState>
  </autoFilter>
  <mergeCells count="3">
    <mergeCell ref="A10:I10"/>
    <mergeCell ref="A8:I8"/>
    <mergeCell ref="A2:I2"/>
  </mergeCells>
  <pageMargins left="0.7" right="0.7" top="0.75" bottom="0.75" header="0.3" footer="0.3"/>
  <pageSetup scale="52" orientation="landscape"/>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J22"/>
  <sheetViews>
    <sheetView zoomScale="75" zoomScaleNormal="75" zoomScalePageLayoutView="75" workbookViewId="0">
      <selection activeCell="A10" sqref="A10:XFD10"/>
    </sheetView>
  </sheetViews>
  <sheetFormatPr defaultColWidth="8.85546875" defaultRowHeight="14.25" x14ac:dyDescent="0.25"/>
  <cols>
    <col min="1" max="1" width="34.140625" style="6" customWidth="1"/>
    <col min="2" max="2" width="20.7109375" style="6" customWidth="1"/>
    <col min="3" max="3" width="32" style="6" customWidth="1"/>
    <col min="4" max="4" width="16" style="6" customWidth="1"/>
    <col min="5" max="5" width="8.85546875" style="6" customWidth="1"/>
    <col min="6" max="6" width="8.85546875" style="13" customWidth="1"/>
    <col min="7" max="8" width="28.85546875" style="6" customWidth="1"/>
    <col min="9" max="9" width="41.140625" style="6" customWidth="1"/>
    <col min="10" max="10" width="8.85546875" style="6" customWidth="1"/>
    <col min="11" max="16384" width="8.85546875" style="6"/>
  </cols>
  <sheetData>
    <row r="1" spans="1:10" s="4" customFormat="1" ht="18" customHeight="1" x14ac:dyDescent="0.25">
      <c r="A1" s="4" t="s">
        <v>3</v>
      </c>
      <c r="B1" s="4" t="str">
        <f>'Complete List_09252026'!C1</f>
        <v>NAME</v>
      </c>
      <c r="C1" s="4" t="str">
        <f>'Complete List_09252026'!E1</f>
        <v>ADDRESS</v>
      </c>
      <c r="D1" s="4" t="str">
        <f>'Complete List_09252026'!F1</f>
        <v>CITY</v>
      </c>
      <c r="E1" s="4" t="str">
        <f>'Complete List_09252026'!G1</f>
        <v>STATE</v>
      </c>
      <c r="F1" s="10" t="str">
        <f>'Complete List_09252026'!H1</f>
        <v>ZIP</v>
      </c>
      <c r="G1" s="4" t="str">
        <f>'Complete List_09252026'!J1</f>
        <v>EMAIL</v>
      </c>
      <c r="H1" s="4" t="s">
        <v>10</v>
      </c>
      <c r="I1" s="4" t="str">
        <f>'Complete List_09252026'!L1</f>
        <v>NEIGHBORHOOD OF INTEREST</v>
      </c>
    </row>
    <row r="2" spans="1:10" s="26" customFormat="1" ht="18" customHeight="1" x14ac:dyDescent="0.25">
      <c r="A2" s="71" t="s">
        <v>1835</v>
      </c>
      <c r="B2" s="69"/>
      <c r="C2" s="69"/>
      <c r="D2" s="69"/>
      <c r="E2" s="69"/>
      <c r="F2" s="69"/>
      <c r="G2" s="69"/>
      <c r="H2" s="69"/>
      <c r="I2" s="69"/>
      <c r="J2" s="28"/>
    </row>
    <row r="3" spans="1:10" s="14" customFormat="1" ht="39.6" customHeight="1" x14ac:dyDescent="0.25">
      <c r="A3" s="14" t="str">
        <f>'Complete List_09252026'!D129</f>
        <v>HERE Local 2</v>
      </c>
      <c r="B3" s="14" t="str">
        <f>'Complete List_09252026'!C129</f>
        <v>Ian Lewis</v>
      </c>
      <c r="C3" s="14" t="str">
        <f>'Complete List_09252026'!E129</f>
        <v>209 Golden Gate Avenue</v>
      </c>
      <c r="D3" s="14" t="str">
        <f>'Complete List_09252026'!F129</f>
        <v>San Francisco</v>
      </c>
      <c r="E3" s="14" t="str">
        <f>'Complete List_09252026'!G129</f>
        <v>CA</v>
      </c>
      <c r="F3" s="14" t="str">
        <f>'Complete List_09252026'!H129</f>
        <v>94102</v>
      </c>
      <c r="G3" s="14">
        <f>'Complete List_09252026'!J129</f>
        <v>0</v>
      </c>
      <c r="H3" s="14" t="str">
        <f>'Complete List_09252026'!K129</f>
        <v>Physical</v>
      </c>
      <c r="I3" s="14" t="str">
        <f>'Complete List_09252026'!L129</f>
        <v>Chinatown, Downtown/Civic Center, Marina, Mission, Nob Hill, North Beach, Pacific Heights, Presidio, South of Market</v>
      </c>
    </row>
    <row r="4" spans="1:10" s="14" customFormat="1" ht="26.45" customHeight="1" x14ac:dyDescent="0.25">
      <c r="A4" s="14" t="str">
        <f>'Complete List_09252026'!D160</f>
        <v>Lombard Hill Improvement Association</v>
      </c>
      <c r="B4" s="14" t="str">
        <f>'Complete List_09252026'!C160</f>
        <v>Arthur Albrecht</v>
      </c>
      <c r="C4" s="14" t="str">
        <f>'Complete List_09252026'!E160</f>
        <v>1000 Lombard Street</v>
      </c>
      <c r="D4" s="14" t="str">
        <f>'Complete List_09252026'!F160</f>
        <v>San Francisco</v>
      </c>
      <c r="E4" s="14" t="str">
        <f>'Complete List_09252026'!G160</f>
        <v>CA</v>
      </c>
      <c r="F4" s="14" t="str">
        <f>'Complete List_09252026'!H160</f>
        <v>94109-1515</v>
      </c>
      <c r="G4" s="14" t="str">
        <f>'Complete List_09252026'!J160</f>
        <v>ARAlbrecht@aol.com</v>
      </c>
      <c r="H4" s="14" t="str">
        <f>'Complete List_09252026'!K160</f>
        <v>Physical</v>
      </c>
      <c r="I4" s="14" t="str">
        <f>'Complete List_09252026'!L160</f>
        <v>Russian Hill</v>
      </c>
    </row>
    <row r="5" spans="1:10" s="14" customFormat="1" ht="13.15" customHeight="1" x14ac:dyDescent="0.25">
      <c r="A5" s="14" t="str">
        <f>'Complete List_09252026'!D175</f>
        <v>Middle Polk Neighborhood Association</v>
      </c>
      <c r="B5" s="14" t="str">
        <f>'Complete List_09252026'!C175</f>
        <v>Adam Mayer</v>
      </c>
      <c r="C5" s="14" t="str">
        <f>'Complete List_09252026'!E175</f>
        <v>PO Box 640918</v>
      </c>
      <c r="D5" s="14" t="str">
        <f>'Complete List_09252026'!F175</f>
        <v>San Francisco</v>
      </c>
      <c r="E5" s="14" t="str">
        <f>'Complete List_09252026'!G175</f>
        <v>CA</v>
      </c>
      <c r="F5" s="14">
        <f>'Complete List_09252026'!H175</f>
        <v>94164</v>
      </c>
      <c r="G5" s="14" t="str">
        <f>'Complete List_09252026'!J175</f>
        <v>moe@middlepolk.org</v>
      </c>
      <c r="H5" s="14" t="str">
        <f>'Complete List_09252026'!K175</f>
        <v>Physical</v>
      </c>
      <c r="I5" s="14" t="str">
        <f>'Complete List_09252026'!L175</f>
        <v>Downtown/Civic Center, Nob Hill, Russian Hill</v>
      </c>
    </row>
    <row r="6" spans="1:10" s="14" customFormat="1" ht="39.6" customHeight="1" x14ac:dyDescent="0.25">
      <c r="A6" s="14" t="str">
        <f>'Complete List_09252026'!D212</f>
        <v>Oak Grove Group</v>
      </c>
      <c r="B6" s="14" t="str">
        <f>'Complete List_09252026'!C212</f>
        <v>Billy Lee</v>
      </c>
      <c r="C6" s="14" t="str">
        <f>'Complete List_09252026'!E212</f>
        <v>2505 Oak Street</v>
      </c>
      <c r="D6" s="14" t="str">
        <f>'Complete List_09252026'!F212</f>
        <v>Napa</v>
      </c>
      <c r="E6" s="14" t="str">
        <f>'Complete List_09252026'!G212</f>
        <v>CA</v>
      </c>
      <c r="F6" s="14">
        <f>'Complete List_09252026'!H212</f>
        <v>94559</v>
      </c>
      <c r="G6" s="14" t="str">
        <f>'Complete List_09252026'!J212</f>
        <v>leeway_e@yahoo.com</v>
      </c>
      <c r="H6" s="14" t="str">
        <f>'Complete List_09252026'!K212</f>
        <v>Physical</v>
      </c>
      <c r="I6" s="14" t="str">
        <f>'Complete List_09252026'!L212</f>
        <v>Pacific Heights, Russian Hill, Marina, Nob Hill, Presidio, Presidio Heights, Sea Cliff, Noe Valley, Western Addition</v>
      </c>
    </row>
    <row r="7" spans="1:10" s="14" customFormat="1" ht="26.45" customHeight="1" x14ac:dyDescent="0.25">
      <c r="A7" s="14" t="str">
        <f>'Complete List_09252026'!D225</f>
        <v>Pacific Avenue Neighborhood Association (PANA)</v>
      </c>
      <c r="B7" s="14" t="str">
        <f>'Complete List_09252026'!C225</f>
        <v>Robyn Tucker</v>
      </c>
      <c r="C7" s="14" t="str">
        <f>'Complete List_09252026'!E225</f>
        <v>7 McCormick</v>
      </c>
      <c r="D7" s="14" t="str">
        <f>'Complete List_09252026'!F225</f>
        <v>San Francisco</v>
      </c>
      <c r="E7" s="14" t="str">
        <f>'Complete List_09252026'!G225</f>
        <v>CA</v>
      </c>
      <c r="F7" s="14" t="str">
        <f>'Complete List_09252026'!H225</f>
        <v>94109</v>
      </c>
      <c r="G7" s="14" t="str">
        <f>'Complete List_09252026'!J225</f>
        <v>venturesv@aol.com</v>
      </c>
      <c r="H7" s="14" t="str">
        <f>'Complete List_09252026'!K225</f>
        <v>Physical</v>
      </c>
      <c r="I7" s="14" t="str">
        <f>'Complete List_09252026'!L225</f>
        <v>Nob Hill, Russian Hill</v>
      </c>
    </row>
    <row r="8" spans="1:10" s="14" customFormat="1" ht="13.15" customHeight="1" x14ac:dyDescent="0.25">
      <c r="A8" s="14" t="str">
        <f>'Complete List_09252026'!D239</f>
        <v>Russian Hill Improvement Assocation</v>
      </c>
      <c r="B8" s="14" t="str">
        <f>'Complete List_09252026'!C239</f>
        <v>Sandra Nauman</v>
      </c>
      <c r="C8" s="14" t="str">
        <f>'Complete List_09252026'!E239</f>
        <v>P.O. Box 475874</v>
      </c>
      <c r="D8" s="14" t="str">
        <f>'Complete List_09252026'!F239</f>
        <v>San Francisco</v>
      </c>
      <c r="E8" s="14" t="str">
        <f>'Complete List_09252026'!G239</f>
        <v>CA</v>
      </c>
      <c r="F8" s="14">
        <f>'Complete List_09252026'!H239</f>
        <v>94147</v>
      </c>
      <c r="G8" s="14" t="str">
        <f>'Complete List_09252026'!J239</f>
        <v>info@rhia-sf.org</v>
      </c>
      <c r="H8" s="14" t="str">
        <f>'Complete List_09252026'!K239</f>
        <v>Physical</v>
      </c>
      <c r="I8" s="14" t="str">
        <f>'Complete List_09252026'!L239</f>
        <v>Russian Hill</v>
      </c>
    </row>
    <row r="9" spans="1:10" s="14" customFormat="1" ht="26.45" customHeight="1" x14ac:dyDescent="0.25">
      <c r="A9" s="14" t="str">
        <f>'Complete List_09252026'!D283</f>
        <v>St. Vincent de Paul Society, North Beach</v>
      </c>
      <c r="B9" s="14" t="str">
        <f>'Complete List_09252026'!C283</f>
        <v>Marc Bruno</v>
      </c>
      <c r="C9" s="14" t="str">
        <f>'Complete List_09252026'!E283</f>
        <v>666 Filbert Street</v>
      </c>
      <c r="D9" s="14" t="str">
        <f>'Complete List_09252026'!F283</f>
        <v>San Francisco</v>
      </c>
      <c r="E9" s="14" t="str">
        <f>'Complete List_09252026'!G283</f>
        <v>CA</v>
      </c>
      <c r="F9" s="14">
        <f>'Complete List_09252026'!H283</f>
        <v>94133</v>
      </c>
      <c r="G9" s="14" t="str">
        <f>'Complete List_09252026'!J283</f>
        <v>marcabruno@yahoo.com</v>
      </c>
      <c r="H9" s="14" t="str">
        <f>'Complete List_09252026'!K283</f>
        <v>Physical</v>
      </c>
      <c r="I9" s="14" t="str">
        <f>'Complete List_09252026'!L283</f>
        <v>Chinatown, Financial District, Nob Hill, North Beach, Russian Hill</v>
      </c>
    </row>
    <row r="10" spans="1:10" s="14" customFormat="1" ht="17.45" customHeight="1" x14ac:dyDescent="0.25">
      <c r="A10" s="68" t="s">
        <v>1836</v>
      </c>
      <c r="B10" s="72"/>
      <c r="C10" s="72"/>
      <c r="D10" s="72"/>
      <c r="E10" s="72"/>
      <c r="F10" s="72"/>
      <c r="G10" s="72"/>
      <c r="H10" s="72"/>
      <c r="I10" s="72"/>
    </row>
    <row r="11" spans="1:10" s="14" customFormat="1" ht="66" customHeight="1" x14ac:dyDescent="0.25">
      <c r="A11" s="14" t="str">
        <f>'Complete List_09252026'!D36</f>
        <v>Board of Supervisors</v>
      </c>
      <c r="B11" s="14" t="str">
        <f>'Complete List_09252026'!C36</f>
        <v>Danny Sauter</v>
      </c>
      <c r="C11" s="14" t="str">
        <f>'Complete List_09252026'!E36</f>
        <v>1 Dr. Carlton B Goodlett Place, Room #244</v>
      </c>
      <c r="D11" s="14" t="str">
        <f>'Complete List_09252026'!F36</f>
        <v>San Francisco</v>
      </c>
      <c r="E11" s="14" t="str">
        <f>'Complete List_09252026'!G36</f>
        <v>CA</v>
      </c>
      <c r="F11" s="14" t="str">
        <f>'Complete List_09252026'!H36</f>
        <v>94102-4689</v>
      </c>
      <c r="G11" s="14" t="str">
        <f>'Complete List_09252026'!J36</f>
        <v>SauterStaff@sfgov.org;
Michelle.Andrews@sfgov.org; Amy.Lee5@sfgov.org; tita.bell@sfgov.org; tomio.nagano@sfgov.org</v>
      </c>
      <c r="H11" s="14" t="str">
        <f>'Complete List_09252026'!K36</f>
        <v>Both</v>
      </c>
      <c r="I11" s="14" t="str">
        <f>'Complete List_09252026'!L36</f>
        <v>Chinatown, Financial District, Nob Hill, North Beach, Russian Hill</v>
      </c>
    </row>
    <row r="12" spans="1:10" ht="26.45" customHeight="1" x14ac:dyDescent="0.25">
      <c r="A12" s="14" t="str">
        <f>'Complete List_09252026'!D41</f>
        <v>Board of Supervisors</v>
      </c>
      <c r="B12" s="14" t="str">
        <f>'Complete List_09252026'!C41</f>
        <v>Stephen Sherrill</v>
      </c>
      <c r="C12" s="14" t="str">
        <f>'Complete List_09252026'!E41</f>
        <v>1 Dr. Carlton B Goodlett Place, Room #244</v>
      </c>
      <c r="D12" s="14" t="str">
        <f>'Complete List_09252026'!F41</f>
        <v>San Francisco</v>
      </c>
      <c r="E12" s="14" t="str">
        <f>'Complete List_09252026'!G41</f>
        <v>CA</v>
      </c>
      <c r="F12" s="14" t="str">
        <f>'Complete List_09252026'!H41</f>
        <v>94102-4689</v>
      </c>
      <c r="G12" s="14" t="str">
        <f>'Complete List_09252026'!J41</f>
        <v>SherrillStaff@sfgov.org; 
Lorenzo.Rosas@sfgov.org</v>
      </c>
      <c r="H12" s="14" t="str">
        <f>'Complete List_09252026'!K41</f>
        <v>Both</v>
      </c>
      <c r="I12" s="14" t="str">
        <f>'Complete List_09252026'!L41</f>
        <v>Marina, Pacific Heights, Presidio, Presidio Heights, Russian Hill, Seacliff, Western Addition</v>
      </c>
    </row>
    <row r="13" spans="1:10" s="26" customFormat="1" ht="18" customHeight="1" x14ac:dyDescent="0.25">
      <c r="A13" s="70" t="s">
        <v>1842</v>
      </c>
      <c r="B13" s="69"/>
      <c r="C13" s="69"/>
      <c r="D13" s="69"/>
      <c r="E13" s="69"/>
      <c r="F13" s="69"/>
      <c r="G13" s="69"/>
      <c r="H13" s="69"/>
      <c r="I13" s="69"/>
      <c r="J13" s="29"/>
    </row>
    <row r="14" spans="1:10" s="14" customFormat="1" ht="26.45" customHeight="1" x14ac:dyDescent="0.25">
      <c r="A14" s="14" t="str">
        <f>'Complete List_09252026'!D82</f>
        <v>Discover Polk Community Benefit District</v>
      </c>
      <c r="B14" s="14" t="str">
        <f>'Complete List_09252026'!C82</f>
        <v>Duncan Ley</v>
      </c>
      <c r="C14" s="14" t="str">
        <f>'Complete List_09252026'!E82</f>
        <v>P.O. Box 642097</v>
      </c>
      <c r="D14" s="14" t="str">
        <f>'Complete List_09252026'!F82</f>
        <v>San Francisco</v>
      </c>
      <c r="E14" s="14" t="str">
        <f>'Complete List_09252026'!G82</f>
        <v>CA</v>
      </c>
      <c r="F14" s="14">
        <f>'Complete List_09252026'!H82</f>
        <v>94164</v>
      </c>
      <c r="G14" s="14" t="str">
        <f>'Complete List_09252026'!J82</f>
        <v>duncan@discoverpolk.org
ben@discoverpolk.org</v>
      </c>
      <c r="H14" s="14" t="str">
        <f>'Complete List_09252026'!K82</f>
        <v>Electronic</v>
      </c>
      <c r="I14" s="14" t="str">
        <f>'Complete List_09252026'!L82</f>
        <v>Nob Hill, Russian Hill</v>
      </c>
    </row>
    <row r="15" spans="1:10" s="14" customFormat="1" ht="26.45" customHeight="1" x14ac:dyDescent="0.25">
      <c r="A15" s="14" t="str">
        <f>'Complete List_09252026'!D163</f>
        <v>Lower Polk / Larkin Business Collaborative</v>
      </c>
      <c r="B15" s="14" t="str">
        <f>'Complete List_09252026'!C163</f>
        <v>David Villa-Lobos</v>
      </c>
      <c r="C15" s="14" t="str">
        <f>'Complete List_09252026'!E163</f>
        <v>P.O. Box 642201</v>
      </c>
      <c r="D15" s="14" t="str">
        <f>'Complete List_09252026'!F163</f>
        <v>San Francisco</v>
      </c>
      <c r="E15" s="14" t="str">
        <f>'Complete List_09252026'!G163</f>
        <v>CA</v>
      </c>
      <c r="F15" s="14">
        <f>'Complete List_09252026'!H163</f>
        <v>94164</v>
      </c>
      <c r="G15" s="14" t="str">
        <f>'Complete List_09252026'!J163</f>
        <v>david_villalobos@sbcglobal.net</v>
      </c>
      <c r="H15" s="14" t="str">
        <f>'Complete List_09252026'!K163</f>
        <v>Electronic</v>
      </c>
      <c r="I15" s="14" t="str">
        <f>'Complete List_09252026'!L163</f>
        <v>Nob Hill, Russian Hill</v>
      </c>
    </row>
    <row r="16" spans="1:10" s="14" customFormat="1" ht="26.45" customHeight="1" x14ac:dyDescent="0.25">
      <c r="A16" s="14" t="str">
        <f>'Complete List_09252026'!D205</f>
        <v>North Beach Neighbors</v>
      </c>
      <c r="B16" s="14" t="str">
        <f>'Complete List_09252026'!C205</f>
        <v>Danny Sauter</v>
      </c>
      <c r="C16" s="14" t="str">
        <f>'Complete List_09252026'!E205</f>
        <v>P.O. Box 330115</v>
      </c>
      <c r="D16" s="14" t="str">
        <f>'Complete List_09252026'!F205</f>
        <v>San Francisco</v>
      </c>
      <c r="E16" s="14" t="str">
        <f>'Complete List_09252026'!G205</f>
        <v>CA</v>
      </c>
      <c r="F16" s="14" t="str">
        <f>'Complete List_09252026'!H205</f>
        <v>94133</v>
      </c>
      <c r="G16" s="14" t="str">
        <f>'Complete List_09252026'!J205</f>
        <v>northbeachneighbors@ymail.com</v>
      </c>
      <c r="H16" s="14" t="str">
        <f>'Complete List_09252026'!K205</f>
        <v>Electronic</v>
      </c>
      <c r="I16" s="14" t="str">
        <f>'Complete List_09252026'!L205</f>
        <v>Chinatown, Financial District, Nob Hill, North Beach, Russian Hill</v>
      </c>
    </row>
    <row r="17" spans="1:9" s="14" customFormat="1" ht="13.15" customHeight="1" x14ac:dyDescent="0.25">
      <c r="A17" s="14" t="str">
        <f>'Complete List_09252026'!D238</f>
        <v>Russian Hill Community Association</v>
      </c>
      <c r="B17" s="14" t="str">
        <f>'Complete List_09252026'!C238</f>
        <v>Kathleen Courtney</v>
      </c>
      <c r="C17" s="14" t="str">
        <f>'Complete List_09252026'!E238</f>
        <v>1158 Green Street</v>
      </c>
      <c r="D17" s="14" t="str">
        <f>'Complete List_09252026'!F238</f>
        <v>San Francisco</v>
      </c>
      <c r="E17" s="14" t="str">
        <f>'Complete List_09252026'!G238</f>
        <v>CA</v>
      </c>
      <c r="F17" s="14" t="str">
        <f>'Complete List_09252026'!H238</f>
        <v>94109</v>
      </c>
      <c r="G17" s="14" t="str">
        <f>'Complete List_09252026'!J238</f>
        <v>kcourtney@rhcasf.com</v>
      </c>
      <c r="H17" s="14" t="str">
        <f>'Complete List_09252026'!K238</f>
        <v>Electronic</v>
      </c>
      <c r="I17" s="14" t="str">
        <f>'Complete List_09252026'!L238</f>
        <v>Nob Hill, Russian Hill</v>
      </c>
    </row>
    <row r="18" spans="1:9" s="14" customFormat="1" ht="13.15" customHeight="1" x14ac:dyDescent="0.25">
      <c r="A18" s="14" t="str">
        <f>'Complete List_09252026'!D240</f>
        <v>Russian Hill Neighbors</v>
      </c>
      <c r="B18" s="14" t="str">
        <f>'Complete List_09252026'!C240</f>
        <v>Robert Bluhm</v>
      </c>
      <c r="C18" s="14" t="str">
        <f>'Complete List_09252026'!E240</f>
        <v>1819 Polk Street #221</v>
      </c>
      <c r="D18" s="14" t="str">
        <f>'Complete List_09252026'!F240</f>
        <v>San Francisco</v>
      </c>
      <c r="E18" s="14" t="str">
        <f>'Complete List_09252026'!G240</f>
        <v>CA</v>
      </c>
      <c r="F18" s="14">
        <f>'Complete List_09252026'!H240</f>
        <v>94109</v>
      </c>
      <c r="G18" s="14" t="str">
        <f>'Complete List_09252026'!J240</f>
        <v>zoning@rhnsf.org</v>
      </c>
      <c r="H18" s="14" t="str">
        <f>'Complete List_09252026'!K240</f>
        <v>Electronic</v>
      </c>
      <c r="I18" s="14" t="str">
        <f>'Complete List_09252026'!L240</f>
        <v>Russian Hill</v>
      </c>
    </row>
    <row r="19" spans="1:9" s="14" customFormat="1" ht="26.45" customHeight="1" x14ac:dyDescent="0.25">
      <c r="A19" s="14" t="str">
        <f>'Complete List_09252026'!D203</f>
        <v>Northeast San Francisco Conservancy</v>
      </c>
      <c r="B19" s="14" t="str">
        <f>'Complete List_09252026'!C203</f>
        <v>Nancy Shanahan</v>
      </c>
      <c r="C19" s="14" t="str">
        <f>'Complete List_09252026'!E203</f>
        <v>224 Filbert Street</v>
      </c>
      <c r="D19" s="14" t="str">
        <f>'Complete List_09252026'!F203</f>
        <v>San Francisco</v>
      </c>
      <c r="E19" s="14" t="str">
        <f>'Complete List_09252026'!G203</f>
        <v>CA</v>
      </c>
      <c r="F19" s="14">
        <f>'Complete List_09252026'!H203</f>
        <v>94133</v>
      </c>
      <c r="G19" s="14" t="str">
        <f>'Complete List_09252026'!J203</f>
        <v>nshan@mindspring.com</v>
      </c>
      <c r="H19" s="14" t="str">
        <f>'Complete List_09252026'!K203</f>
        <v>Electronic</v>
      </c>
      <c r="I19" s="14" t="str">
        <f>'Complete List_09252026'!L203</f>
        <v>Chinatown, Financial District, North Beach, Russian Hill</v>
      </c>
    </row>
    <row r="20" spans="1:9" s="14" customFormat="1" ht="66" customHeight="1" x14ac:dyDescent="0.25">
      <c r="A20" s="11" t="str">
        <f>'Complete List_09252026'!D59</f>
        <v>Chinatown Community Development Center (CCDC)</v>
      </c>
      <c r="B20" s="11" t="str">
        <f>'Complete List_09252026'!C59</f>
        <v>Malcom Yeung</v>
      </c>
      <c r="C20" s="11" t="str">
        <f>'Complete List_09252026'!E59</f>
        <v>615 Grant Avenue</v>
      </c>
      <c r="D20" s="11" t="str">
        <f>'Complete List_09252026'!F59</f>
        <v>San Francisco</v>
      </c>
      <c r="E20" s="11" t="str">
        <f>'Complete List_09252026'!G59</f>
        <v>CA</v>
      </c>
      <c r="F20" s="11" t="str">
        <f>'Complete List_09252026'!H59</f>
        <v>94133</v>
      </c>
      <c r="G20" s="11" t="str">
        <f>'Complete List_09252026'!J59</f>
        <v>myeung@chinatowncdc.org; matthias.mormino@chinatowncdc.org; sharon.ng@chinatowncdc.org; tandchow@gmail.com;</v>
      </c>
      <c r="H20" s="11" t="str">
        <f>'Complete List_09252026'!K59</f>
        <v>Electronic</v>
      </c>
      <c r="I20" s="11" t="str">
        <f>'Complete List_09252026'!L59</f>
        <v>Chinatown, Financial District, Nob Hill, North Beach, Russian Hill</v>
      </c>
    </row>
    <row r="21" spans="1:9" ht="39.6" customHeight="1" x14ac:dyDescent="0.25">
      <c r="A21" s="11" t="str">
        <f>'Complete List_09252026'!D210</f>
        <v>Northern Neighbors</v>
      </c>
      <c r="B21" s="11" t="str">
        <f>'Complete List_09252026'!C210</f>
        <v>Michael Chen</v>
      </c>
      <c r="C21" s="11" t="str">
        <f>'Complete List_09252026'!E210</f>
        <v>2655 Bush St. Apt. 303</v>
      </c>
      <c r="D21" s="11" t="str">
        <f>'Complete List_09252026'!F210</f>
        <v>San Francisco</v>
      </c>
      <c r="E21" s="11" t="str">
        <f>'Complete List_09252026'!G210</f>
        <v>CA</v>
      </c>
      <c r="F21" s="11">
        <f>'Complete List_09252026'!H210</f>
        <v>94115</v>
      </c>
      <c r="G21" s="11" t="str">
        <f>'Complete List_09252026'!J210</f>
        <v>hello@northernneighbors.org</v>
      </c>
      <c r="H21" s="11" t="str">
        <f>'Complete List_09252026'!K210</f>
        <v>Electronic</v>
      </c>
      <c r="I21" s="11" t="str">
        <f>'Complete List_09252026'!L210</f>
        <v>Chinatown, Financial District, Nob Hill, North Beach, Pacific Heights, Presidio, Presidio Heights, Russian Hill, Seacliff</v>
      </c>
    </row>
    <row r="22" spans="1:9" ht="26.45" customHeight="1" x14ac:dyDescent="0.25">
      <c r="A22" s="14" t="str">
        <f>'Complete List_09252026'!D302</f>
        <v>Upper Chinatown Neighborhood Association</v>
      </c>
      <c r="B22" s="14" t="str">
        <f>'Complete List_09252026'!C302</f>
        <v>Jennifer Mei</v>
      </c>
      <c r="C22" s="14" t="str">
        <f>'Complete List_09252026'!E302</f>
        <v>1144 Pacific Avenue</v>
      </c>
      <c r="D22" s="14" t="str">
        <f>'Complete List_09252026'!F302</f>
        <v>San Francisco</v>
      </c>
      <c r="E22" s="14" t="str">
        <f>'Complete List_09252026'!G302</f>
        <v>CA</v>
      </c>
      <c r="F22" s="14">
        <f>'Complete List_09252026'!H302</f>
        <v>94133</v>
      </c>
      <c r="G22" s="14" t="str">
        <f>'Complete List_09252026'!J302</f>
        <v xml:space="preserve">upperchinatownassociation@gmail.com </v>
      </c>
      <c r="H22" s="14" t="str">
        <f>'Complete List_09252026'!K302</f>
        <v>Electronic</v>
      </c>
      <c r="I22" s="14" t="str">
        <f>'Complete List_09252026'!L302</f>
        <v>Chinatown, Nob Hill, Russian Hill</v>
      </c>
    </row>
  </sheetData>
  <autoFilter ref="A1:I1" xr:uid="{00000000-0009-0000-0000-00001F000000}">
    <sortState xmlns:xlrd2="http://schemas.microsoft.com/office/spreadsheetml/2017/richdata2" ref="A2:I19">
      <sortCondition descending="1" ref="H1"/>
    </sortState>
  </autoFilter>
  <mergeCells count="3">
    <mergeCell ref="A2:I2"/>
    <mergeCell ref="A13:I13"/>
    <mergeCell ref="A10:I10"/>
  </mergeCells>
  <pageMargins left="0.7" right="0.7" top="0.75" bottom="0.75" header="0.3" footer="0.3"/>
  <pageSetup scale="53"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J14"/>
  <sheetViews>
    <sheetView zoomScale="75" zoomScaleNormal="75" zoomScalePageLayoutView="75" workbookViewId="0">
      <selection activeCell="A4" sqref="A4:XFD4"/>
    </sheetView>
  </sheetViews>
  <sheetFormatPr defaultColWidth="8.85546875" defaultRowHeight="14.25" x14ac:dyDescent="0.25"/>
  <cols>
    <col min="1" max="1" width="34.140625" style="6" customWidth="1"/>
    <col min="2" max="2" width="20.7109375" style="6" customWidth="1"/>
    <col min="3" max="3" width="32" style="6" customWidth="1"/>
    <col min="4" max="4" width="16" style="6" customWidth="1"/>
    <col min="5" max="5" width="8.85546875" style="6" customWidth="1"/>
    <col min="6" max="6" width="8.85546875" style="13" customWidth="1"/>
    <col min="7" max="8" width="28.85546875" style="6" customWidth="1"/>
    <col min="9" max="9" width="41.140625" style="6" customWidth="1"/>
    <col min="10" max="10" width="8.85546875" style="6" customWidth="1"/>
    <col min="11" max="16384" width="8.85546875" style="6"/>
  </cols>
  <sheetData>
    <row r="1" spans="1:10" s="4" customFormat="1" ht="18" customHeight="1" x14ac:dyDescent="0.25">
      <c r="A1" s="4" t="s">
        <v>3</v>
      </c>
      <c r="B1" s="4" t="str">
        <f>'Complete List_09252026'!C1</f>
        <v>NAME</v>
      </c>
      <c r="C1" s="4" t="str">
        <f>'Complete List_09252026'!E1</f>
        <v>ADDRESS</v>
      </c>
      <c r="D1" s="4" t="str">
        <f>'Complete List_09252026'!F1</f>
        <v>CITY</v>
      </c>
      <c r="E1" s="4" t="str">
        <f>'Complete List_09252026'!G1</f>
        <v>STATE</v>
      </c>
      <c r="F1" s="10" t="str">
        <f>'Complete List_09252026'!H1</f>
        <v>ZIP</v>
      </c>
      <c r="G1" s="4" t="str">
        <f>'Complete List_09252026'!J1</f>
        <v>EMAIL</v>
      </c>
      <c r="H1" s="4" t="s">
        <v>10</v>
      </c>
      <c r="I1" s="4" t="str">
        <f>'Complete List_09252026'!L1</f>
        <v>NEIGHBORHOOD OF INTEREST</v>
      </c>
    </row>
    <row r="2" spans="1:10" s="26" customFormat="1" ht="18" customHeight="1" x14ac:dyDescent="0.25">
      <c r="A2" s="71" t="s">
        <v>1835</v>
      </c>
      <c r="B2" s="69"/>
      <c r="C2" s="69"/>
      <c r="D2" s="69"/>
      <c r="E2" s="69"/>
      <c r="F2" s="69"/>
      <c r="G2" s="69"/>
      <c r="H2" s="69"/>
      <c r="I2" s="69"/>
      <c r="J2" s="28"/>
    </row>
    <row r="3" spans="1:10" s="14" customFormat="1" ht="39.6" customHeight="1" x14ac:dyDescent="0.25">
      <c r="A3" s="14" t="str">
        <f>'Complete List_09252026'!D212</f>
        <v>Oak Grove Group</v>
      </c>
      <c r="B3" s="14" t="str">
        <f>'Complete List_09252026'!C212</f>
        <v>Billy Lee</v>
      </c>
      <c r="C3" s="14" t="str">
        <f>'Complete List_09252026'!E212</f>
        <v>2505 Oak Street</v>
      </c>
      <c r="D3" s="14" t="str">
        <f>'Complete List_09252026'!F212</f>
        <v>Napa</v>
      </c>
      <c r="E3" s="14" t="str">
        <f>'Complete List_09252026'!G212</f>
        <v>CA</v>
      </c>
      <c r="F3" s="14">
        <f>'Complete List_09252026'!H212</f>
        <v>94559</v>
      </c>
      <c r="G3" s="14" t="str">
        <f>'Complete List_09252026'!J212</f>
        <v>leeway_e@yahoo.com</v>
      </c>
      <c r="H3" s="14" t="str">
        <f>'Complete List_09252026'!K212</f>
        <v>Physical</v>
      </c>
      <c r="I3" s="14" t="str">
        <f>'Complete List_09252026'!L212</f>
        <v>Pacific Heights, Russian Hill, Marina, Nob Hill, Presidio, Presidio Heights, Sea Cliff, Noe Valley, Western Addition</v>
      </c>
    </row>
    <row r="4" spans="1:10" s="14" customFormat="1" ht="26.45" customHeight="1" x14ac:dyDescent="0.25">
      <c r="A4" s="14" t="str">
        <f>'Complete List_09252026'!D144</f>
        <v>Jordan Park Improvement Assocation</v>
      </c>
      <c r="B4" s="14" t="str">
        <f>'Complete List_09252026'!C144</f>
        <v>Rose Hillson</v>
      </c>
      <c r="C4" s="14" t="str">
        <f>'Complete List_09252026'!E144</f>
        <v>115 Parker Avenue</v>
      </c>
      <c r="D4" s="14" t="str">
        <f>'Complete List_09252026'!F144</f>
        <v>San Francisco</v>
      </c>
      <c r="E4" s="14" t="str">
        <f>'Complete List_09252026'!G144</f>
        <v>CA</v>
      </c>
      <c r="F4" s="14" t="str">
        <f>'Complete List_09252026'!H144</f>
        <v>94118-2607</v>
      </c>
      <c r="G4" s="14">
        <f>'Complete List_09252026'!J144</f>
        <v>0</v>
      </c>
      <c r="H4" s="14" t="str">
        <f>'Complete List_09252026'!K144</f>
        <v>Physical</v>
      </c>
      <c r="I4" s="14" t="str">
        <f>'Complete List_09252026'!L144</f>
        <v>Inner Richmond, Marina, Pacific Heights, Presidio Heights, Outer Richmond, Seacliff</v>
      </c>
    </row>
    <row r="5" spans="1:10" s="14" customFormat="1" ht="13.15" customHeight="1" x14ac:dyDescent="0.25">
      <c r="A5" s="14" t="str">
        <f>'Complete List_09252026'!D158</f>
        <v>Lincoln Park Homeowners Association</v>
      </c>
      <c r="B5" s="14" t="str">
        <f>'Complete List_09252026'!C158</f>
        <v>Norman Kondy</v>
      </c>
      <c r="C5" s="14" t="str">
        <f>'Complete List_09252026'!E158</f>
        <v>271 32nd Avenue</v>
      </c>
      <c r="D5" s="14" t="str">
        <f>'Complete List_09252026'!F158</f>
        <v>San Francisco</v>
      </c>
      <c r="E5" s="14" t="str">
        <f>'Complete List_09252026'!G158</f>
        <v>CA</v>
      </c>
      <c r="F5" s="14" t="str">
        <f>'Complete List_09252026'!H158</f>
        <v>94121</v>
      </c>
      <c r="G5" s="14" t="str">
        <f>'Complete List_09252026'!J158</f>
        <v>nkondy@sbcglobal.net</v>
      </c>
      <c r="H5" s="14" t="str">
        <f>'Complete List_09252026'!K158</f>
        <v>Physical</v>
      </c>
      <c r="I5" s="14" t="str">
        <f>'Complete List_09252026'!L158</f>
        <v>Outer Richmond, Seacliff</v>
      </c>
    </row>
    <row r="6" spans="1:10" s="14" customFormat="1" ht="17.45" customHeight="1" x14ac:dyDescent="0.25">
      <c r="A6" s="68" t="s">
        <v>1836</v>
      </c>
      <c r="B6" s="72"/>
      <c r="C6" s="72"/>
      <c r="D6" s="72"/>
      <c r="E6" s="72"/>
      <c r="F6" s="72"/>
      <c r="G6" s="72"/>
      <c r="H6" s="72"/>
      <c r="I6" s="72"/>
    </row>
    <row r="7" spans="1:10" s="14" customFormat="1" ht="79.150000000000006" customHeight="1" x14ac:dyDescent="0.25">
      <c r="A7" s="14" t="str">
        <f>'Complete List_09252026'!D39</f>
        <v>Board of Supervisors</v>
      </c>
      <c r="B7" s="14" t="str">
        <f>'Complete List_09252026'!C39</f>
        <v xml:space="preserve">Connie Chan </v>
      </c>
      <c r="C7" s="14" t="str">
        <f>'Complete List_09252026'!E39</f>
        <v>1 Dr. Carlton B Goodlett Place, Room #244</v>
      </c>
      <c r="D7" s="14" t="str">
        <f>'Complete List_09252026'!F39</f>
        <v>San Francisco</v>
      </c>
      <c r="E7" s="14" t="str">
        <f>'Complete List_09252026'!G39</f>
        <v>CA</v>
      </c>
      <c r="F7" s="14" t="str">
        <f>'Complete List_09252026'!H39</f>
        <v>94102-4689</v>
      </c>
      <c r="G7" s="14" t="str">
        <f>'Complete List_09252026'!J39</f>
        <v>connie.chan@sfgov.org;
ian.fregosi@sfgov.org;
frances.hsieh@sfgov.org;
kelly.groth@sfgov.org;
angelina.yu@sfgov.org;
ChanStaff@sfgov.org</v>
      </c>
      <c r="H7" s="14" t="str">
        <f>'Complete List_09252026'!K39</f>
        <v>Both</v>
      </c>
      <c r="I7" s="14" t="str">
        <f>'Complete List_09252026'!L39</f>
        <v>Inner Richmond, Outer Richmond, Seacliff</v>
      </c>
    </row>
    <row r="8" spans="1:10" s="14" customFormat="1" ht="26.45" customHeight="1" x14ac:dyDescent="0.25">
      <c r="A8" s="14" t="str">
        <f>'Complete List_09252026'!D41</f>
        <v>Board of Supervisors</v>
      </c>
      <c r="B8" s="14" t="str">
        <f>'Complete List_09252026'!C41</f>
        <v>Stephen Sherrill</v>
      </c>
      <c r="C8" s="14" t="str">
        <f>'Complete List_09252026'!E41</f>
        <v>1 Dr. Carlton B Goodlett Place, Room #244</v>
      </c>
      <c r="D8" s="14" t="str">
        <f>'Complete List_09252026'!F41</f>
        <v>San Francisco</v>
      </c>
      <c r="E8" s="14" t="str">
        <f>'Complete List_09252026'!G41</f>
        <v>CA</v>
      </c>
      <c r="F8" s="14" t="str">
        <f>'Complete List_09252026'!H41</f>
        <v>94102-4689</v>
      </c>
      <c r="G8" s="14" t="str">
        <f>'Complete List_09252026'!J41</f>
        <v>SherrillStaff@sfgov.org; 
Lorenzo.Rosas@sfgov.org</v>
      </c>
      <c r="H8" s="14" t="str">
        <f>'Complete List_09252026'!K41</f>
        <v>Both</v>
      </c>
      <c r="I8" s="14" t="str">
        <f>'Complete List_09252026'!L41</f>
        <v>Marina, Pacific Heights, Presidio, Presidio Heights, Russian Hill, Seacliff, Western Addition</v>
      </c>
    </row>
    <row r="9" spans="1:10" s="26" customFormat="1" ht="18" customHeight="1" x14ac:dyDescent="0.25">
      <c r="A9" s="70" t="s">
        <v>1842</v>
      </c>
      <c r="B9" s="69"/>
      <c r="C9" s="69"/>
      <c r="D9" s="69"/>
      <c r="E9" s="69"/>
      <c r="F9" s="69"/>
      <c r="G9" s="69"/>
      <c r="H9" s="69"/>
      <c r="I9" s="69"/>
      <c r="J9" s="29"/>
    </row>
    <row r="10" spans="1:10" s="14" customFormat="1" ht="26.45" customHeight="1" x14ac:dyDescent="0.25">
      <c r="A10" s="14" t="str">
        <f>'Complete List_09252026'!D67</f>
        <v>Coalition to Save Ocean Beach / Friends of Sutro Park</v>
      </c>
      <c r="B10" s="14" t="str">
        <f>'Complete List_09252026'!C67</f>
        <v>Jason Jungreis</v>
      </c>
      <c r="C10" s="14" t="str">
        <f>'Complete List_09252026'!E67</f>
        <v>527 47th Avenue</v>
      </c>
      <c r="D10" s="14" t="str">
        <f>'Complete List_09252026'!F67</f>
        <v>San Francisco</v>
      </c>
      <c r="E10" s="14" t="str">
        <f>'Complete List_09252026'!G67</f>
        <v>CA</v>
      </c>
      <c r="F10" s="14">
        <f>'Complete List_09252026'!H67</f>
        <v>94121</v>
      </c>
      <c r="G10" s="14" t="str">
        <f>'Complete List_09252026'!J67</f>
        <v>jasonzjungreis@gmail.com</v>
      </c>
      <c r="H10" s="14" t="str">
        <f>'Complete List_09252026'!K67</f>
        <v>Electronic</v>
      </c>
      <c r="I10" s="14" t="str">
        <f>'Complete List_09252026'!L67</f>
        <v>Golden Gate Park, Outer Richmond, Seacliff</v>
      </c>
    </row>
    <row r="11" spans="1:10" s="14" customFormat="1" ht="26.45" customHeight="1" x14ac:dyDescent="0.25">
      <c r="A11" s="14" t="str">
        <f>'Complete List_09252026'!D120</f>
        <v>Grow the Richmond</v>
      </c>
      <c r="B11" s="14" t="str">
        <f>'Complete List_09252026'!C120</f>
        <v>Jane Natoli</v>
      </c>
      <c r="C11" s="14" t="str">
        <f>'Complete List_09252026'!E120</f>
        <v>759 6th Ave #7</v>
      </c>
      <c r="D11" s="14" t="str">
        <f>'Complete List_09252026'!F120</f>
        <v>San Francisco</v>
      </c>
      <c r="E11" s="14" t="str">
        <f>'Complete List_09252026'!G120</f>
        <v>CA</v>
      </c>
      <c r="F11" s="14">
        <f>'Complete List_09252026'!H120</f>
        <v>94118</v>
      </c>
      <c r="G11" s="14" t="str">
        <f>'Complete List_09252026'!J120</f>
        <v>hello@growtherichmond.com</v>
      </c>
      <c r="H11" s="14" t="str">
        <f>'Complete List_09252026'!K120</f>
        <v>Electronic</v>
      </c>
      <c r="I11" s="14" t="str">
        <f>'Complete List_09252026'!L120</f>
        <v>Inner Richmond, Outer Richmond, Presidio Heights, Seacliff</v>
      </c>
    </row>
    <row r="12" spans="1:10" s="14" customFormat="1" ht="26.45" customHeight="1" x14ac:dyDescent="0.25">
      <c r="A12" s="14" t="str">
        <f>'Complete List_09252026'!D229</f>
        <v>Planning Association for the Richmond (PAR)</v>
      </c>
      <c r="B12" s="14" t="str">
        <f>'Complete List_09252026'!C229</f>
        <v>Dan Baroni</v>
      </c>
      <c r="C12" s="14" t="str">
        <f>'Complete List_09252026'!E229</f>
        <v>2828  Fulton Street</v>
      </c>
      <c r="D12" s="14" t="str">
        <f>'Complete List_09252026'!F229</f>
        <v>San Francisco</v>
      </c>
      <c r="E12" s="14" t="str">
        <f>'Complete List_09252026'!G229</f>
        <v>CA</v>
      </c>
      <c r="F12" s="14" t="str">
        <f>'Complete List_09252026'!H229</f>
        <v>94118-3300</v>
      </c>
      <c r="G12" s="14" t="str">
        <f>'Complete List_09252026'!J229</f>
        <v>dmbaroni@mac.com; sfparlanduse@gmail.com</v>
      </c>
      <c r="H12" s="14" t="str">
        <f>'Complete List_09252026'!K229</f>
        <v>Electronic</v>
      </c>
      <c r="I12" s="14" t="str">
        <f>'Complete List_09252026'!L229</f>
        <v>Inner Richmond, Outer Richmond, Seacliff</v>
      </c>
    </row>
    <row r="13" spans="1:10" s="14" customFormat="1" ht="13.15" customHeight="1" x14ac:dyDescent="0.25">
      <c r="A13" s="14" t="str">
        <f>'Complete List_09252026'!D246</f>
        <v>Sea Cliff Cares</v>
      </c>
      <c r="B13" s="14" t="str">
        <f>'Complete List_09252026'!C246</f>
        <v>Peter Tempel</v>
      </c>
      <c r="C13" s="14" t="str">
        <f>'Complete List_09252026'!E246</f>
        <v>230 El Camino Del Mar</v>
      </c>
      <c r="D13" s="14" t="str">
        <f>'Complete List_09252026'!F246</f>
        <v>San Francisco</v>
      </c>
      <c r="E13" s="14" t="str">
        <f>'Complete List_09252026'!G246</f>
        <v>CA</v>
      </c>
      <c r="F13" s="14">
        <f>'Complete List_09252026'!H246</f>
        <v>94121</v>
      </c>
      <c r="G13" s="14" t="str">
        <f>'Complete List_09252026'!J246</f>
        <v>SeaCliffCares@tempel.net</v>
      </c>
      <c r="H13" s="14" t="str">
        <f>'Complete List_09252026'!K246</f>
        <v>Electronic</v>
      </c>
      <c r="I13" s="14" t="str">
        <f>'Complete List_09252026'!L246</f>
        <v>Outer Richmond, Seacliff</v>
      </c>
    </row>
    <row r="14" spans="1:10" ht="39.6" customHeight="1" x14ac:dyDescent="0.25">
      <c r="A14" s="11" t="str">
        <f>'Complete List_09252026'!D210</f>
        <v>Northern Neighbors</v>
      </c>
      <c r="B14" s="11" t="str">
        <f>'Complete List_09252026'!C210</f>
        <v>Michael Chen</v>
      </c>
      <c r="C14" s="11" t="str">
        <f>'Complete List_09252026'!E210</f>
        <v>2655 Bush St. Apt. 303</v>
      </c>
      <c r="D14" s="11" t="str">
        <f>'Complete List_09252026'!F210</f>
        <v>San Francisco</v>
      </c>
      <c r="E14" s="11" t="str">
        <f>'Complete List_09252026'!G210</f>
        <v>CA</v>
      </c>
      <c r="F14" s="11">
        <f>'Complete List_09252026'!H210</f>
        <v>94115</v>
      </c>
      <c r="G14" s="11" t="str">
        <f>'Complete List_09252026'!J210</f>
        <v>hello@northernneighbors.org</v>
      </c>
      <c r="H14" s="11" t="str">
        <f>'Complete List_09252026'!K210</f>
        <v>Electronic</v>
      </c>
      <c r="I14" s="11" t="str">
        <f>'Complete List_09252026'!L210</f>
        <v>Chinatown, Financial District, Nob Hill, North Beach, Pacific Heights, Presidio, Presidio Heights, Russian Hill, Seacliff</v>
      </c>
    </row>
  </sheetData>
  <autoFilter ref="A1:I1" xr:uid="{00000000-0009-0000-0000-000020000000}">
    <sortState xmlns:xlrd2="http://schemas.microsoft.com/office/spreadsheetml/2017/richdata2" ref="A2:I11">
      <sortCondition descending="1" ref="H1"/>
    </sortState>
  </autoFilter>
  <mergeCells count="3">
    <mergeCell ref="A9:I9"/>
    <mergeCell ref="A2:I2"/>
    <mergeCell ref="A6:I6"/>
  </mergeCells>
  <pageMargins left="0.7" right="0.7" top="0.75" bottom="0.75" header="0.3" footer="0.3"/>
  <pageSetup scale="52" orientation="landscape"/>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A1:J44"/>
  <sheetViews>
    <sheetView topLeftCell="A3" zoomScale="75" zoomScaleNormal="75" zoomScalePageLayoutView="75" workbookViewId="0">
      <selection activeCell="A20" sqref="A20:XFD20"/>
    </sheetView>
  </sheetViews>
  <sheetFormatPr defaultColWidth="8.85546875" defaultRowHeight="14.25" x14ac:dyDescent="0.25"/>
  <cols>
    <col min="1" max="1" width="34.140625" style="6" customWidth="1"/>
    <col min="2" max="2" width="20.7109375" style="6" customWidth="1"/>
    <col min="3" max="3" width="32" style="6" customWidth="1"/>
    <col min="4" max="4" width="16" style="6" customWidth="1"/>
    <col min="5" max="5" width="8.85546875" style="6" customWidth="1"/>
    <col min="6" max="6" width="8.85546875" style="13" customWidth="1"/>
    <col min="7" max="8" width="28.85546875" style="6" customWidth="1"/>
    <col min="9" max="9" width="41.140625" style="6" customWidth="1"/>
    <col min="10" max="10" width="8.85546875" style="6" customWidth="1"/>
    <col min="11" max="16384" width="8.85546875" style="6"/>
  </cols>
  <sheetData>
    <row r="1" spans="1:10" s="4" customFormat="1" ht="18" customHeight="1" x14ac:dyDescent="0.25">
      <c r="A1" s="4" t="s">
        <v>3</v>
      </c>
      <c r="B1" s="4" t="str">
        <f>'Complete List_09252026'!C1</f>
        <v>NAME</v>
      </c>
      <c r="C1" s="4" t="str">
        <f>'Complete List_09252026'!E1</f>
        <v>ADDRESS</v>
      </c>
      <c r="D1" s="4" t="str">
        <f>'Complete List_09252026'!F1</f>
        <v>CITY</v>
      </c>
      <c r="E1" s="4" t="str">
        <f>'Complete List_09252026'!G1</f>
        <v>STATE</v>
      </c>
      <c r="F1" s="10" t="str">
        <f>'Complete List_09252026'!H1</f>
        <v>ZIP</v>
      </c>
      <c r="G1" s="4" t="str">
        <f>'Complete List_09252026'!J1</f>
        <v>EMAIL</v>
      </c>
      <c r="H1" s="4" t="s">
        <v>10</v>
      </c>
      <c r="I1" s="4" t="str">
        <f>'Complete List_09252026'!L1</f>
        <v>NEIGHBORHOOD OF INTEREST</v>
      </c>
    </row>
    <row r="2" spans="1:10" s="26" customFormat="1" ht="18" customHeight="1" x14ac:dyDescent="0.25">
      <c r="A2" s="71" t="s">
        <v>1835</v>
      </c>
      <c r="B2" s="69"/>
      <c r="C2" s="69"/>
      <c r="D2" s="69"/>
      <c r="E2" s="69"/>
      <c r="F2" s="69"/>
      <c r="G2" s="69"/>
      <c r="H2" s="69"/>
      <c r="I2" s="69"/>
      <c r="J2" s="28"/>
    </row>
    <row r="3" spans="1:10" s="14" customFormat="1" ht="13.15" customHeight="1" x14ac:dyDescent="0.25">
      <c r="A3" s="14" t="str">
        <f>'Complete List_09252026'!D15</f>
        <v>American Friends Service Committee</v>
      </c>
      <c r="B3" s="14" t="str">
        <f>'Complete List_09252026'!C15</f>
        <v>Laura Magnani</v>
      </c>
      <c r="C3" s="14" t="str">
        <f>'Complete List_09252026'!E15</f>
        <v>65 Ninth Street</v>
      </c>
      <c r="D3" s="14" t="str">
        <f>'Complete List_09252026'!F15</f>
        <v>San Francisco</v>
      </c>
      <c r="E3" s="14" t="str">
        <f>'Complete List_09252026'!G15</f>
        <v>CA</v>
      </c>
      <c r="F3" s="14" t="str">
        <f>'Complete List_09252026'!H15</f>
        <v>94103</v>
      </c>
      <c r="G3" s="14" t="str">
        <f>'Complete List_09252026'!J15</f>
        <v>sfoffice@afsc.org</v>
      </c>
      <c r="H3" s="14" t="str">
        <f>'Complete List_09252026'!K15</f>
        <v>Physical</v>
      </c>
      <c r="I3" s="14" t="str">
        <f>'Complete List_09252026'!L15</f>
        <v>South of Market</v>
      </c>
    </row>
    <row r="4" spans="1:10" s="14" customFormat="1" ht="39.6" customHeight="1" x14ac:dyDescent="0.25">
      <c r="A4" s="14" t="str">
        <f>'Complete List_09252026'!D129</f>
        <v>HERE Local 2</v>
      </c>
      <c r="B4" s="14" t="str">
        <f>'Complete List_09252026'!C129</f>
        <v>Ian Lewis</v>
      </c>
      <c r="C4" s="14" t="str">
        <f>'Complete List_09252026'!E129</f>
        <v>209 Golden Gate Avenue</v>
      </c>
      <c r="D4" s="14" t="str">
        <f>'Complete List_09252026'!F129</f>
        <v>San Francisco</v>
      </c>
      <c r="E4" s="14" t="str">
        <f>'Complete List_09252026'!G129</f>
        <v>CA</v>
      </c>
      <c r="F4" s="14" t="str">
        <f>'Complete List_09252026'!H129</f>
        <v>94102</v>
      </c>
      <c r="G4" s="14">
        <f>'Complete List_09252026'!J129</f>
        <v>0</v>
      </c>
      <c r="H4" s="14" t="str">
        <f>'Complete List_09252026'!K129</f>
        <v>Physical</v>
      </c>
      <c r="I4" s="14" t="str">
        <f>'Complete List_09252026'!L129</f>
        <v>Chinatown, Downtown/Civic Center, Marina, Mission, Nob Hill, North Beach, Pacific Heights, Presidio, South of Market</v>
      </c>
    </row>
    <row r="5" spans="1:10" s="14" customFormat="1" ht="52.9" customHeight="1" x14ac:dyDescent="0.25">
      <c r="A5" s="14" t="str">
        <f>'Complete List_09252026'!D131</f>
        <v>Hotel Zeppelin</v>
      </c>
      <c r="B5" s="14" t="str">
        <f>'Complete List_09252026'!C131</f>
        <v>Antonio Flores</v>
      </c>
      <c r="C5" s="14" t="str">
        <f>'Complete List_09252026'!E131</f>
        <v>545 Post Street</v>
      </c>
      <c r="D5" s="14" t="str">
        <f>'Complete List_09252026'!F131</f>
        <v>San Francisco</v>
      </c>
      <c r="E5" s="14" t="str">
        <f>'Complete List_09252026'!G131</f>
        <v>CA</v>
      </c>
      <c r="F5" s="14">
        <f>'Complete List_09252026'!H131</f>
        <v>94102</v>
      </c>
      <c r="G5" s="14" t="str">
        <f>'Complete List_09252026'!J131</f>
        <v>antonio.flores@viceroyhotelgroup.com</v>
      </c>
      <c r="H5" s="14" t="str">
        <f>'Complete List_09252026'!K131</f>
        <v>Physical</v>
      </c>
      <c r="I5" s="14" t="str">
        <f>'Complete List_09252026'!L131</f>
        <v>Castro/Upper Market, Chinatown, Downtown/Civic Center, Financial District, Nob Hill, North Beach, South of Market, Treasure Island</v>
      </c>
    </row>
    <row r="6" spans="1:10" s="14" customFormat="1" ht="13.15" customHeight="1" x14ac:dyDescent="0.25">
      <c r="A6" s="14" t="str">
        <f>'Complete List_09252026'!D159</f>
        <v>LMNOP Neighbors</v>
      </c>
      <c r="B6" s="14" t="str">
        <f>'Complete List_09252026'!C159</f>
        <v>Kaye Griffin</v>
      </c>
      <c r="C6" s="14" t="str">
        <f>'Complete List_09252026'!E159</f>
        <v>1047 Minna Street</v>
      </c>
      <c r="D6" s="14" t="str">
        <f>'Complete List_09252026'!F159</f>
        <v>San Francisco</v>
      </c>
      <c r="E6" s="14" t="str">
        <f>'Complete List_09252026'!G159</f>
        <v>CA</v>
      </c>
      <c r="F6" s="14" t="str">
        <f>'Complete List_09252026'!H159</f>
        <v>94103</v>
      </c>
      <c r="G6" s="14" t="str">
        <f>'Complete List_09252026'!J159</f>
        <v>LMNOP@yak.net</v>
      </c>
      <c r="H6" s="14" t="str">
        <f>'Complete List_09252026'!K159</f>
        <v>Physical</v>
      </c>
      <c r="I6" s="14" t="str">
        <f>'Complete List_09252026'!L159</f>
        <v>South of Market</v>
      </c>
    </row>
    <row r="7" spans="1:10" s="14" customFormat="1" ht="39.6" customHeight="1" x14ac:dyDescent="0.25">
      <c r="A7" s="14" t="str">
        <f>'Complete List_09252026'!D168</f>
        <v>Market Street Association</v>
      </c>
      <c r="B7" s="14" t="str">
        <f>'Complete List_09252026'!C168</f>
        <v>Carolyn Diamond</v>
      </c>
      <c r="C7" s="14" t="str">
        <f>'Complete List_09252026'!E168</f>
        <v>870 Market Street, Suite 456</v>
      </c>
      <c r="D7" s="14" t="str">
        <f>'Complete List_09252026'!F168</f>
        <v>San Francisco</v>
      </c>
      <c r="E7" s="14" t="str">
        <f>'Complete List_09252026'!G168</f>
        <v>CA</v>
      </c>
      <c r="F7" s="14" t="str">
        <f>'Complete List_09252026'!H168</f>
        <v>94102</v>
      </c>
      <c r="G7" s="14" t="str">
        <f>'Complete List_09252026'!J168</f>
        <v>msadv@pacbell.net; carolyn@marketstreetassociation.org</v>
      </c>
      <c r="H7" s="14" t="str">
        <f>'Complete List_09252026'!K168</f>
        <v>Physical</v>
      </c>
      <c r="I7" s="14" t="str">
        <f>'Complete List_09252026'!L168</f>
        <v>South of Market</v>
      </c>
    </row>
    <row r="8" spans="1:10" s="14" customFormat="1" ht="13.15" customHeight="1" x14ac:dyDescent="0.25">
      <c r="A8" s="14" t="str">
        <f>'Complete List_09252026'!D176</f>
        <v>Mid-Market Community Benefit District</v>
      </c>
      <c r="B8" s="14" t="str">
        <f>'Complete List_09252026'!C176</f>
        <v>Tracy Everwine</v>
      </c>
      <c r="C8" s="14" t="str">
        <f>'Complete List_09252026'!E176</f>
        <v>901 Market Street, Suite 490</v>
      </c>
      <c r="D8" s="14" t="str">
        <f>'Complete List_09252026'!F176</f>
        <v>San Francisco</v>
      </c>
      <c r="E8" s="14" t="str">
        <f>'Complete List_09252026'!G176</f>
        <v>CA</v>
      </c>
      <c r="F8" s="14">
        <f>'Complete List_09252026'!H176</f>
        <v>94103</v>
      </c>
      <c r="G8" s="14" t="str">
        <f>'Complete List_09252026'!J176</f>
        <v>info@midmarketcbd.org</v>
      </c>
      <c r="H8" s="14" t="str">
        <f>'Complete List_09252026'!K176</f>
        <v>Physical</v>
      </c>
      <c r="I8" s="14" t="str">
        <f>'Complete List_09252026'!L176</f>
        <v>South of Market</v>
      </c>
    </row>
    <row r="9" spans="1:10" s="14" customFormat="1" ht="13.15" customHeight="1" x14ac:dyDescent="0.25">
      <c r="A9" s="14" t="str">
        <f>'Complete List_09252026'!D218</f>
        <v>One Ecker Owners Association</v>
      </c>
      <c r="B9" s="14" t="str">
        <f>'Complete List_09252026'!C218</f>
        <v>Ethan Hough</v>
      </c>
      <c r="C9" s="14" t="str">
        <f>'Complete List_09252026'!E218</f>
        <v>16 Jessie Street Unit 301</v>
      </c>
      <c r="D9" s="14" t="str">
        <f>'Complete List_09252026'!F218</f>
        <v>San Francisco</v>
      </c>
      <c r="E9" s="14" t="str">
        <f>'Complete List_09252026'!G218</f>
        <v>CA</v>
      </c>
      <c r="F9" s="14">
        <f>'Complete List_09252026'!H218</f>
        <v>94105</v>
      </c>
      <c r="G9" s="14" t="str">
        <f>'Complete List_09252026'!J218</f>
        <v>ethanhough@gmail.com</v>
      </c>
      <c r="H9" s="14" t="str">
        <f>'Complete List_09252026'!K218</f>
        <v>Physical</v>
      </c>
      <c r="I9" s="14" t="str">
        <f>'Complete List_09252026'!L218</f>
        <v>Financial District, South of Market</v>
      </c>
    </row>
    <row r="10" spans="1:10" s="14" customFormat="1" ht="26.45" customHeight="1" x14ac:dyDescent="0.25">
      <c r="A10" s="14" t="str">
        <f>'Complete List_09252026'!D242</f>
        <v>Samoan Development Centre</v>
      </c>
      <c r="B10" s="14" t="str">
        <f>'Complete List_09252026'!C242</f>
        <v>Patsy Tito</v>
      </c>
      <c r="C10" s="14" t="str">
        <f>'Complete List_09252026'!E242</f>
        <v>2055 Sunnydale Avenue #100</v>
      </c>
      <c r="D10" s="14" t="str">
        <f>'Complete List_09252026'!F242</f>
        <v>San Francisco</v>
      </c>
      <c r="E10" s="14" t="str">
        <f>'Complete List_09252026'!G242</f>
        <v>CA</v>
      </c>
      <c r="F10" s="14" t="str">
        <f>'Complete List_09252026'!H242</f>
        <v>94134-2611</v>
      </c>
      <c r="G10" s="14">
        <f>'Complete List_09252026'!J242</f>
        <v>0</v>
      </c>
      <c r="H10" s="14" t="str">
        <f>'Complete List_09252026'!K242</f>
        <v>Physical</v>
      </c>
      <c r="I10" s="14" t="str">
        <f>'Complete List_09252026'!L242</f>
        <v>Bayview, South of Market</v>
      </c>
    </row>
    <row r="11" spans="1:10" s="14" customFormat="1" ht="26.45" customHeight="1" x14ac:dyDescent="0.25">
      <c r="A11" s="14" t="str">
        <f>'Complete List_09252026'!D251</f>
        <v>SF CityWide</v>
      </c>
      <c r="B11" s="14" t="str">
        <f>'Complete List_09252026'!C251</f>
        <v>David Lal</v>
      </c>
      <c r="C11" s="14" t="str">
        <f>'Complete List_09252026'!E251</f>
        <v>142 S. Van Ness Ave</v>
      </c>
      <c r="D11" s="14" t="str">
        <f>'Complete List_09252026'!F251</f>
        <v>San Francisco</v>
      </c>
      <c r="E11" s="14" t="str">
        <f>'Complete List_09252026'!G251</f>
        <v>CA</v>
      </c>
      <c r="F11" s="14">
        <f>'Complete List_09252026'!H251</f>
        <v>94103</v>
      </c>
      <c r="G11" s="14" t="str">
        <f>'Complete List_09252026'!J251</f>
        <v>info@sfcitywide.org</v>
      </c>
      <c r="H11" s="14" t="str">
        <f>'Complete List_09252026'!K251</f>
        <v>Physical</v>
      </c>
      <c r="I11" s="14" t="str">
        <f>'Complete List_09252026'!L251</f>
        <v>Downtown/Civic Center, Financial District, South of Market, Treasure Island</v>
      </c>
    </row>
    <row r="12" spans="1:10" s="14" customFormat="1" ht="26.45" customHeight="1" x14ac:dyDescent="0.25">
      <c r="A12" s="14" t="str">
        <f>'Complete List_09252026'!D268</f>
        <v>SoMaBend Neighborhood Association</v>
      </c>
      <c r="B12" s="14" t="str">
        <f>'Complete List_09252026'!C268</f>
        <v>Eric Lopez</v>
      </c>
      <c r="C12" s="14" t="str">
        <f>'Complete List_09252026'!E268</f>
        <v>P.O. Box 410805</v>
      </c>
      <c r="D12" s="14" t="str">
        <f>'Complete List_09252026'!F268</f>
        <v>San Francisco</v>
      </c>
      <c r="E12" s="14" t="str">
        <f>'Complete List_09252026'!G268</f>
        <v>CA</v>
      </c>
      <c r="F12" s="14">
        <f>'Complete List_09252026'!H268</f>
        <v>94141</v>
      </c>
      <c r="G12" s="14" t="str">
        <f>'Complete List_09252026'!J268</f>
        <v>somabend.na@gmail.com</v>
      </c>
      <c r="H12" s="14" t="str">
        <f>'Complete List_09252026'!K268</f>
        <v>Physical</v>
      </c>
      <c r="I12" s="14" t="str">
        <f>'Complete List_09252026'!L268</f>
        <v xml:space="preserve">Downtown/Civic Center, Mission, South of Market </v>
      </c>
    </row>
    <row r="13" spans="1:10" s="14" customFormat="1" ht="26.45" customHeight="1" x14ac:dyDescent="0.25">
      <c r="A13" s="14" t="str">
        <f>'Complete List_09252026'!D271</f>
        <v>South of Market Community Action Network (SOMCAN)</v>
      </c>
      <c r="B13" s="14" t="str">
        <f>'Complete List_09252026'!C271</f>
        <v>Angelica Cabande</v>
      </c>
      <c r="C13" s="14" t="str">
        <f>'Complete List_09252026'!E271</f>
        <v>1110 Howard Street</v>
      </c>
      <c r="D13" s="14" t="str">
        <f>'Complete List_09252026'!F271</f>
        <v>San Francisco</v>
      </c>
      <c r="E13" s="14" t="str">
        <f>'Complete List_09252026'!G271</f>
        <v>CA</v>
      </c>
      <c r="F13" s="14" t="str">
        <f>'Complete List_09252026'!H271</f>
        <v>94103</v>
      </c>
      <c r="G13" s="14" t="str">
        <f>'Complete List_09252026'!J271</f>
        <v>acabande@somcan.org</v>
      </c>
      <c r="H13" s="14" t="str">
        <f>'Complete List_09252026'!K271</f>
        <v>Physical</v>
      </c>
      <c r="I13" s="14" t="str">
        <f>'Complete List_09252026'!L271</f>
        <v>South of Market</v>
      </c>
    </row>
    <row r="14" spans="1:10" s="14" customFormat="1" ht="26.45" customHeight="1" x14ac:dyDescent="0.25">
      <c r="A14" s="14" t="str">
        <f>'Complete List_09252026'!D293</f>
        <v>TJPA CAC</v>
      </c>
      <c r="B14" s="14" t="str">
        <f>'Complete List_09252026'!C293</f>
        <v>Anna Harvey</v>
      </c>
      <c r="C14" s="14" t="str">
        <f>'Complete List_09252026'!E293</f>
        <v>425 Mission Street,  Suite 250</v>
      </c>
      <c r="D14" s="14" t="str">
        <f>'Complete List_09252026'!F293</f>
        <v>San Francisco</v>
      </c>
      <c r="E14" s="14" t="str">
        <f>'Complete List_09252026'!G293</f>
        <v>CA</v>
      </c>
      <c r="F14" s="14">
        <f>'Complete List_09252026'!H293</f>
        <v>94105</v>
      </c>
      <c r="G14" s="14" t="str">
        <f>'Complete List_09252026'!J293</f>
        <v>aharvey@tjpa.org
lmadjuswu@tjpa.org</v>
      </c>
      <c r="H14" s="14" t="str">
        <f>'Complete List_09252026'!K293</f>
        <v>Electronic</v>
      </c>
      <c r="I14" s="14" t="str">
        <f>'Complete List_09252026'!L293</f>
        <v>Financial District, South of Market</v>
      </c>
    </row>
    <row r="15" spans="1:10" s="14" customFormat="1" ht="13.15" customHeight="1" x14ac:dyDescent="0.25">
      <c r="A15" s="14" t="str">
        <f>'Complete List_09252026'!D294</f>
        <v>TODCO Impact Group</v>
      </c>
      <c r="B15" s="14" t="str">
        <f>'Complete List_09252026'!C294</f>
        <v>Sonja Kos</v>
      </c>
      <c r="C15" s="14" t="str">
        <f>'Complete List_09252026'!E294</f>
        <v>230 Fourth Street</v>
      </c>
      <c r="D15" s="14" t="str">
        <f>'Complete List_09252026'!F294</f>
        <v>San Francisco</v>
      </c>
      <c r="E15" s="14" t="str">
        <f>'Complete List_09252026'!G294</f>
        <v>CA</v>
      </c>
      <c r="F15" s="14">
        <f>'Complete List_09252026'!H294</f>
        <v>94103</v>
      </c>
      <c r="G15" s="14" t="str">
        <f>'Complete List_09252026'!J294</f>
        <v>sonja@todco.org</v>
      </c>
      <c r="H15" s="14" t="str">
        <f>'Complete List_09252026'!K294</f>
        <v>Physical</v>
      </c>
      <c r="I15" s="14" t="str">
        <f>'Complete List_09252026'!L294</f>
        <v>South of Market</v>
      </c>
    </row>
    <row r="16" spans="1:10" s="14" customFormat="1" ht="39.6" customHeight="1" x14ac:dyDescent="0.25">
      <c r="A16" s="14" t="str">
        <f>'Complete List_09252026'!D228</f>
        <v>People Organizing to Demand Environmental and Economic Rights (PODER)</v>
      </c>
      <c r="B16" s="14" t="str">
        <f>'Complete List_09252026'!C228</f>
        <v>Antonio Diaz</v>
      </c>
      <c r="C16" s="14" t="str">
        <f>'Complete List_09252026'!E228</f>
        <v>474 Valencia Street #125</v>
      </c>
      <c r="D16" s="14" t="str">
        <f>'Complete List_09252026'!F228</f>
        <v>San Francisco</v>
      </c>
      <c r="E16" s="14" t="str">
        <f>'Complete List_09252026'!G228</f>
        <v>CA</v>
      </c>
      <c r="F16" s="14" t="str">
        <f>'Complete List_09252026'!H228</f>
        <v>94103</v>
      </c>
      <c r="G16" s="14" t="str">
        <f>'Complete List_09252026'!J228</f>
        <v>info@podersf.org</v>
      </c>
      <c r="H16" s="14" t="str">
        <f>'Complete List_09252026'!K228</f>
        <v>Physical</v>
      </c>
      <c r="I16" s="14" t="str">
        <f>'Complete List_09252026'!L228</f>
        <v>Crocker Amazon, Excelsior, Mission, Ocean View, Outer Mission, South of Market</v>
      </c>
    </row>
    <row r="17" spans="1:10" s="14" customFormat="1" ht="39.6" customHeight="1" x14ac:dyDescent="0.25">
      <c r="A17" s="14" t="str">
        <f>'Complete List_09252026'!D14</f>
        <v>Alliance for a Better District 6</v>
      </c>
      <c r="B17" s="14" t="str">
        <f>'Complete List_09252026'!C14</f>
        <v>Michael Nulty</v>
      </c>
      <c r="C17" s="14" t="str">
        <f>'Complete List_09252026'!E14</f>
        <v>P.O. Box 420782</v>
      </c>
      <c r="D17" s="14" t="str">
        <f>'Complete List_09252026'!F14</f>
        <v>San Francisco</v>
      </c>
      <c r="E17" s="14" t="str">
        <f>'Complete List_09252026'!G14</f>
        <v>CA</v>
      </c>
      <c r="F17" s="14">
        <f>'Complete List_09252026'!H14</f>
        <v>94142</v>
      </c>
      <c r="G17" s="14" t="str">
        <f>'Complete List_09252026'!J14</f>
        <v>sf_district6@yahoo.com</v>
      </c>
      <c r="H17" s="14" t="str">
        <f>'Complete List_09252026'!K14</f>
        <v>Physical</v>
      </c>
      <c r="I17" s="14" t="str">
        <f>'Complete List_09252026'!L14</f>
        <v>Downtown/Civic Center, Financial District, Mission, Nob Hill, South of Market, Treasure Island, Western Addition</v>
      </c>
    </row>
    <row r="18" spans="1:10" s="14" customFormat="1" ht="13.15" customHeight="1" x14ac:dyDescent="0.25">
      <c r="A18" s="14" t="str">
        <f>'Complete List_09252026'!D125</f>
        <v>Hallam Street Homeowners Association</v>
      </c>
      <c r="B18" s="14" t="str">
        <f>'Complete List_09252026'!C125</f>
        <v>Gerald Wolf</v>
      </c>
      <c r="C18" s="14" t="str">
        <f>'Complete List_09252026'!E125</f>
        <v>1 Brush Place</v>
      </c>
      <c r="D18" s="14" t="str">
        <f>'Complete List_09252026'!F125</f>
        <v>San Francisco</v>
      </c>
      <c r="E18" s="14" t="str">
        <f>'Complete List_09252026'!G125</f>
        <v>CA</v>
      </c>
      <c r="F18" s="14" t="str">
        <f>'Complete List_09252026'!H125</f>
        <v>94103</v>
      </c>
      <c r="G18" s="14" t="str">
        <f>'Complete List_09252026'!J125</f>
        <v>wolfgk@earthlink.net</v>
      </c>
      <c r="H18" s="14" t="str">
        <f>'Complete List_09252026'!K125</f>
        <v>Physical</v>
      </c>
      <c r="I18" s="14" t="str">
        <f>'Complete List_09252026'!L125</f>
        <v>South of Market</v>
      </c>
    </row>
    <row r="19" spans="1:10" s="14" customFormat="1" ht="13.15" customHeight="1" x14ac:dyDescent="0.25">
      <c r="A19" s="14" t="str">
        <f>'Complete List_09252026'!D233</f>
        <v>Potrero Hill Neighbors/Save the Hill</v>
      </c>
      <c r="B19" s="14" t="str">
        <f>'Complete List_09252026'!C233</f>
        <v>Rodney Minott</v>
      </c>
      <c r="C19" s="14" t="str">
        <f>'Complete List_09252026'!E233</f>
        <v>1206 Mariposa Street</v>
      </c>
      <c r="D19" s="14" t="str">
        <f>'Complete List_09252026'!F233</f>
        <v>San Francisco</v>
      </c>
      <c r="E19" s="14" t="str">
        <f>'Complete List_09252026'!G233</f>
        <v>CA</v>
      </c>
      <c r="F19" s="14">
        <f>'Complete List_09252026'!H233</f>
        <v>94107</v>
      </c>
      <c r="G19" s="14" t="str">
        <f>'Complete List_09252026'!J233</f>
        <v>rodneyminott@outlook.com</v>
      </c>
      <c r="H19" s="14" t="str">
        <f>'Complete List_09252026'!K233</f>
        <v>Physical</v>
      </c>
      <c r="I19" s="14" t="str">
        <f>'Complete List_09252026'!L233</f>
        <v>Potrero Hill, South of Market</v>
      </c>
    </row>
    <row r="20" spans="1:10" s="14" customFormat="1" ht="13.15" customHeight="1" x14ac:dyDescent="0.25">
      <c r="A20" s="14" t="str">
        <f>'Complete List_09252026'!D264</f>
        <v>SOMA Leadership Council</v>
      </c>
      <c r="B20" s="14" t="str">
        <f>'Complete List_09252026'!C264</f>
        <v>Jaime Whitaker</v>
      </c>
      <c r="C20" s="14" t="str">
        <f>'Complete List_09252026'!E264</f>
        <v>201 Harrison Street Apt. 229</v>
      </c>
      <c r="D20" s="14" t="str">
        <f>'Complete List_09252026'!F264</f>
        <v>San Francisco</v>
      </c>
      <c r="E20" s="14" t="str">
        <f>'Complete List_09252026'!G264</f>
        <v>CA</v>
      </c>
      <c r="F20" s="14">
        <f>'Complete List_09252026'!H264</f>
        <v>94105</v>
      </c>
      <c r="G20" s="14" t="str">
        <f>'Complete List_09252026'!J264</f>
        <v>rinconhill@gmail.com</v>
      </c>
      <c r="H20" s="14" t="str">
        <f>'Complete List_09252026'!K264</f>
        <v>Physical</v>
      </c>
      <c r="I20" s="14" t="str">
        <f>'Complete List_09252026'!L264</f>
        <v>Mission, South of Market</v>
      </c>
    </row>
    <row r="21" spans="1:10" s="14" customFormat="1" ht="26.45" customHeight="1" x14ac:dyDescent="0.25">
      <c r="A21" s="14" t="str">
        <f>'Complete List_09252026'!D266</f>
        <v>SOMA Pilipinas</v>
      </c>
      <c r="B21" s="14" t="str">
        <f>'Complete List_09252026'!C266</f>
        <v>Raquel Redondiez</v>
      </c>
      <c r="C21" s="14" t="str">
        <f>'Complete List_09252026'!E266</f>
        <v>701 Mission Street</v>
      </c>
      <c r="D21" s="14" t="str">
        <f>'Complete List_09252026'!F266</f>
        <v>San Franicsco</v>
      </c>
      <c r="E21" s="14" t="str">
        <f>'Complete List_09252026'!G266</f>
        <v>CA</v>
      </c>
      <c r="F21" s="14">
        <f>'Complete List_09252026'!H266</f>
        <v>94103</v>
      </c>
      <c r="G21" s="14" t="str">
        <f>'Complete List_09252026'!J266</f>
        <v>raquel@somapilipinas.org; david@somapilipinas.org</v>
      </c>
      <c r="H21" s="14" t="str">
        <f>'Complete List_09252026'!K266</f>
        <v>Physical</v>
      </c>
      <c r="I21" s="14" t="str">
        <f>'Complete List_09252026'!L266</f>
        <v>South of Market</v>
      </c>
    </row>
    <row r="22" spans="1:10" s="14" customFormat="1" ht="13.15" customHeight="1" x14ac:dyDescent="0.25">
      <c r="A22" s="14" t="str">
        <f>'Complete List_09252026'!D292</f>
        <v>Tenderloin People's Congress</v>
      </c>
      <c r="B22" s="14" t="str">
        <f>'Complete List_09252026'!C292</f>
        <v>Curtis Bradford</v>
      </c>
      <c r="C22" s="14" t="str">
        <f>'Complete List_09252026'!E292</f>
        <v>1390 Market Street #2206</v>
      </c>
      <c r="D22" s="14" t="str">
        <f>'Complete List_09252026'!F292</f>
        <v>San Francisco</v>
      </c>
      <c r="E22" s="14" t="str">
        <f>'Complete List_09252026'!G292</f>
        <v>CA</v>
      </c>
      <c r="F22" s="14">
        <f>'Complete List_09252026'!H292</f>
        <v>94102</v>
      </c>
      <c r="G22" s="14" t="str">
        <f>'Complete List_09252026'!J292</f>
        <v>cbradford@tndc.org</v>
      </c>
      <c r="H22" s="14" t="str">
        <f>'Complete List_09252026'!K292</f>
        <v>Physical</v>
      </c>
      <c r="I22" s="14" t="str">
        <f>'Complete List_09252026'!L292</f>
        <v>Downtown/Civic Center, South of Market</v>
      </c>
    </row>
    <row r="23" spans="1:10" s="14" customFormat="1" ht="26.45" customHeight="1" x14ac:dyDescent="0.25">
      <c r="A23" s="14" t="str">
        <f>'Complete List_09252026'!D318</f>
        <v>York Realty</v>
      </c>
      <c r="B23" s="14" t="str">
        <f>'Complete List_09252026'!C318</f>
        <v>York Loo</v>
      </c>
      <c r="C23" s="14" t="str">
        <f>'Complete List_09252026'!E318</f>
        <v>243A Shipley Street</v>
      </c>
      <c r="D23" s="14" t="str">
        <f>'Complete List_09252026'!F318</f>
        <v>San Francisco</v>
      </c>
      <c r="E23" s="14" t="str">
        <f>'Complete List_09252026'!G318</f>
        <v>CA</v>
      </c>
      <c r="F23" s="14" t="str">
        <f>'Complete List_09252026'!H318</f>
        <v>94107-1010</v>
      </c>
      <c r="G23" s="14" t="str">
        <f>'Complete List_09252026'!J318</f>
        <v>yorkloo@gmail.com</v>
      </c>
      <c r="H23" s="14" t="str">
        <f>'Complete List_09252026'!K318</f>
        <v>Physical</v>
      </c>
      <c r="I23" s="14" t="str">
        <f>'Complete List_09252026'!L318</f>
        <v>South of Market</v>
      </c>
    </row>
    <row r="24" spans="1:10" s="14" customFormat="1" ht="17.45" customHeight="1" x14ac:dyDescent="0.25">
      <c r="A24" s="68" t="s">
        <v>1836</v>
      </c>
      <c r="B24" s="72"/>
      <c r="C24" s="72"/>
      <c r="D24" s="72"/>
      <c r="E24" s="72"/>
      <c r="F24" s="72"/>
      <c r="G24" s="72"/>
      <c r="H24" s="72"/>
      <c r="I24" s="72"/>
    </row>
    <row r="25" spans="1:10" s="14" customFormat="1" ht="52.9" customHeight="1" x14ac:dyDescent="0.25">
      <c r="A25" s="14" t="str">
        <f>'Complete List_09252026'!D43</f>
        <v xml:space="preserve">Board of Supervisors </v>
      </c>
      <c r="B25" s="14" t="str">
        <f>'Complete List_09252026'!C43</f>
        <v>Matt Dorsey</v>
      </c>
      <c r="C25" s="14" t="str">
        <f>'Complete List_09252026'!E43</f>
        <v>1 Dr. Carlton B Goodlett Place, Room #244</v>
      </c>
      <c r="D25" s="14" t="str">
        <f>'Complete List_09252026'!F43</f>
        <v>San Francisco</v>
      </c>
      <c r="E25" s="14" t="str">
        <f>'Complete List_09252026'!G43</f>
        <v>CA</v>
      </c>
      <c r="F25" s="14" t="str">
        <f>'Complete List_09252026'!H43</f>
        <v>94102-4689</v>
      </c>
      <c r="G25" s="14" t="str">
        <f>'Complete List_09252026'!J43</f>
        <v>DorseyStaff@sfgov.org; Madison.R.Tam@sfgov.org; Bryan.Dahl@sfgov.org; Leo.Alfaro@sfgov.org</v>
      </c>
      <c r="H25" s="14" t="str">
        <f>'Complete List_09252026'!K43</f>
        <v>Both</v>
      </c>
      <c r="I25" s="14" t="str">
        <f>'Complete List_09252026'!L43</f>
        <v>Downtown/Civic Center, South of Market, Treasure Island/YBI</v>
      </c>
    </row>
    <row r="26" spans="1:10" s="14" customFormat="1" ht="26.45" customHeight="1" x14ac:dyDescent="0.25">
      <c r="A26" s="14" t="str">
        <f>'Complete List_09252026'!D267</f>
        <v>SOMA West Neighborhood Association</v>
      </c>
      <c r="B26" s="14" t="str">
        <f>'Complete List_09252026'!C267</f>
        <v>Reese Isbell</v>
      </c>
      <c r="C26" s="14" t="str">
        <f>'Complete List_09252026'!E267</f>
        <v>588 Minna Street #301</v>
      </c>
      <c r="D26" s="14" t="str">
        <f>'Complete List_09252026'!F267</f>
        <v>San Francisco</v>
      </c>
      <c r="E26" s="14" t="str">
        <f>'Complete List_09252026'!G267</f>
        <v>CA</v>
      </c>
      <c r="F26" s="14">
        <f>'Complete List_09252026'!H267</f>
        <v>94103</v>
      </c>
      <c r="G26" s="14" t="str">
        <f>'Complete List_09252026'!J267</f>
        <v>swneighborhoodassociation@gmail.com</v>
      </c>
      <c r="H26" s="14" t="str">
        <f>'Complete List_09252026'!K267</f>
        <v>Both</v>
      </c>
      <c r="I26" s="14" t="str">
        <f>'Complete List_09252026'!L267</f>
        <v>South of Market</v>
      </c>
    </row>
    <row r="27" spans="1:10" s="14" customFormat="1" ht="26.45" customHeight="1" x14ac:dyDescent="0.25">
      <c r="A27" s="14" t="str">
        <f>'Complete List_09252026'!D183</f>
        <v>Mission Bay Neighborhood Association</v>
      </c>
      <c r="B27" s="14" t="str">
        <f>'Complete List_09252026'!C183</f>
        <v>Bettina Cohen</v>
      </c>
      <c r="C27" s="14" t="str">
        <f>'Complete List_09252026'!E183</f>
        <v>330 Berry Street, Unit 206</v>
      </c>
      <c r="D27" s="14" t="str">
        <f>'Complete List_09252026'!F183</f>
        <v>San Francisco</v>
      </c>
      <c r="E27" s="14" t="str">
        <f>'Complete List_09252026'!G183</f>
        <v>CA</v>
      </c>
      <c r="F27" s="14">
        <f>'Complete List_09252026'!H183</f>
        <v>94158</v>
      </c>
      <c r="G27" s="14" t="str">
        <f>'Complete List_09252026'!J183</f>
        <v>bettina.cohen@sonic.net</v>
      </c>
      <c r="H27" s="14" t="str">
        <f>'Complete List_09252026'!K183</f>
        <v>Both</v>
      </c>
      <c r="I27" s="14" t="str">
        <f>'Complete List_09252026'!L183</f>
        <v>South of Market, Potrero Hill</v>
      </c>
    </row>
    <row r="28" spans="1:10" s="26" customFormat="1" ht="18" customHeight="1" x14ac:dyDescent="0.25">
      <c r="A28" s="70" t="s">
        <v>1842</v>
      </c>
      <c r="B28" s="69"/>
      <c r="C28" s="69"/>
      <c r="D28" s="69"/>
      <c r="E28" s="69"/>
      <c r="F28" s="69"/>
      <c r="G28" s="69"/>
      <c r="H28" s="69"/>
      <c r="I28" s="69"/>
      <c r="J28" s="29"/>
    </row>
    <row r="29" spans="1:10" s="14" customFormat="1" ht="26.45" customHeight="1" x14ac:dyDescent="0.25">
      <c r="A29" s="14" t="str">
        <f>'Complete List_09252026'!D128</f>
        <v>Hayes Valley Safe</v>
      </c>
      <c r="B29" s="14" t="str">
        <f>'Complete List_09252026'!C128</f>
        <v>Richard Johnson</v>
      </c>
      <c r="C29" s="14" t="str">
        <f>'Complete List_09252026'!E128</f>
        <v>415 Buchanan St Apt C</v>
      </c>
      <c r="D29" s="14" t="str">
        <f>'Complete List_09252026'!F128</f>
        <v>San Francisco</v>
      </c>
      <c r="E29" s="14" t="str">
        <f>'Complete List_09252026'!G128</f>
        <v>CA</v>
      </c>
      <c r="F29" s="14">
        <f>'Complete List_09252026'!H128</f>
        <v>94102</v>
      </c>
      <c r="G29" s="14" t="str">
        <f>'Complete List_09252026'!J128</f>
        <v>info@hvsafe.com</v>
      </c>
      <c r="H29" s="14" t="str">
        <f>'Complete List_09252026'!K128</f>
        <v>Electronic</v>
      </c>
      <c r="I29" s="14" t="str">
        <f>'Complete List_09252026'!L128</f>
        <v>Castro/Upper Market, Downtown/Civic Center, Mission, South of Market, Western Addition</v>
      </c>
    </row>
    <row r="30" spans="1:10" s="14" customFormat="1" ht="49.5" customHeight="1" x14ac:dyDescent="0.25">
      <c r="A30" s="14" t="str">
        <f>'Complete List_09252026'!D127</f>
        <v xml:space="preserve">Hayes Valley Small Business Association </v>
      </c>
      <c r="B30" s="14" t="str">
        <f>'Complete List_09252026'!C127</f>
        <v>Ramiz Y</v>
      </c>
      <c r="C30" s="14" t="str">
        <f>'Complete List_09252026'!E127</f>
        <v>559 Hayes Street</v>
      </c>
      <c r="D30" s="14" t="str">
        <f>'Complete List_09252026'!F127</f>
        <v>San Francisco</v>
      </c>
      <c r="E30" s="14" t="str">
        <f>'Complete List_09252026'!G127</f>
        <v>CA</v>
      </c>
      <c r="F30" s="14">
        <f>'Complete List_09252026'!H127</f>
        <v>94102</v>
      </c>
      <c r="G30" s="14" t="str">
        <f>'Complete List_09252026'!J127</f>
        <v>info@hvsba.org</v>
      </c>
      <c r="H30" s="14" t="str">
        <f>'Complete List_09252026'!K127</f>
        <v>Electronic</v>
      </c>
      <c r="I30" s="14" t="str">
        <f>'Complete List_09252026'!L127</f>
        <v>Castro/Upper Market, Downtown/Civic Center, Mission, South of Market, Western Addition</v>
      </c>
    </row>
    <row r="31" spans="1:10" s="14" customFormat="1" ht="26.45" customHeight="1" x14ac:dyDescent="0.25">
      <c r="A31" s="14" t="str">
        <f>'Complete List_09252026'!D84</f>
        <v>Dogpatch Neighborhood Association</v>
      </c>
      <c r="B31" s="14" t="str">
        <f>'Complete List_09252026'!C84</f>
        <v>Michael Berkowitz</v>
      </c>
      <c r="C31" s="14" t="str">
        <f>'Complete List_09252026'!E84</f>
        <v>1278 Minnesota Street</v>
      </c>
      <c r="D31" s="14" t="str">
        <f>'Complete List_09252026'!F84</f>
        <v>San Francisco</v>
      </c>
      <c r="E31" s="14" t="str">
        <f>'Complete List_09252026'!G84</f>
        <v>CA</v>
      </c>
      <c r="F31" s="14" t="str">
        <f>'Complete List_09252026'!H84</f>
        <v>94107</v>
      </c>
      <c r="G31" s="14" t="str">
        <f>'Complete List_09252026'!J84</f>
        <v>info@dogpatchna.org; president@dogpatchna.org</v>
      </c>
      <c r="H31" s="14" t="str">
        <f>'Complete List_09252026'!K84</f>
        <v>Electronic</v>
      </c>
      <c r="I31" s="14" t="str">
        <f>'Complete List_09252026'!L84</f>
        <v>Bayview, Mission, Potrero Hill, South of Market</v>
      </c>
    </row>
    <row r="32" spans="1:10" s="14" customFormat="1" ht="13.15" customHeight="1" x14ac:dyDescent="0.25">
      <c r="A32" s="14" t="str">
        <f>'Complete List_09252026'!D85</f>
        <v>Dogpatch Neighborhood Association</v>
      </c>
      <c r="B32" s="14" t="str">
        <f>'Complete List_09252026'!C85</f>
        <v>Donovan Lacy</v>
      </c>
      <c r="C32" s="14" t="str">
        <f>'Complete List_09252026'!E85</f>
        <v>1278 Minnesota Street</v>
      </c>
      <c r="D32" s="14" t="str">
        <f>'Complete List_09252026'!F85</f>
        <v>San Francisco</v>
      </c>
      <c r="E32" s="14" t="str">
        <f>'Complete List_09252026'!G85</f>
        <v>CA</v>
      </c>
      <c r="F32" s="14" t="str">
        <f>'Complete List_09252026'!H85</f>
        <v>94107</v>
      </c>
      <c r="G32" s="14" t="str">
        <f>'Complete List_09252026'!J85</f>
        <v>vp@dogpatchna.org</v>
      </c>
      <c r="H32" s="14" t="str">
        <f>'Complete List_09252026'!K85</f>
        <v>Electronic</v>
      </c>
      <c r="I32" s="14" t="str">
        <f>'Complete List_09252026'!L85</f>
        <v>Bayview, Mission, Potrero Hill, South of Market</v>
      </c>
    </row>
    <row r="33" spans="1:9" s="14" customFormat="1" ht="42" customHeight="1" x14ac:dyDescent="0.25">
      <c r="A33" s="14" t="str">
        <f>'Complete List_09252026'!D126</f>
        <v>Hayes Valley Neighborhood Association</v>
      </c>
      <c r="B33" s="14" t="str">
        <f>'Complete List_09252026'!C126</f>
        <v>Jennifer Laska</v>
      </c>
      <c r="C33" s="14" t="str">
        <f>'Complete List_09252026'!E126</f>
        <v>400 Grove Street, Suite 3</v>
      </c>
      <c r="D33" s="14" t="str">
        <f>'Complete List_09252026'!F126</f>
        <v>San Francisco</v>
      </c>
      <c r="E33" s="14" t="str">
        <f>'Complete List_09252026'!G126</f>
        <v>CA</v>
      </c>
      <c r="F33" s="14" t="str">
        <f>'Complete List_09252026'!H126</f>
        <v>94102</v>
      </c>
      <c r="G33" s="14" t="str">
        <f>'Complete List_09252026'!J126</f>
        <v>president@hayesvalleysf.org</v>
      </c>
      <c r="H33" s="14" t="str">
        <f>'Complete List_09252026'!K126</f>
        <v>Electronic</v>
      </c>
      <c r="I33" s="14" t="str">
        <f>'Complete List_09252026'!L126</f>
        <v>Castro/Upper Market, Downtown/Civic Center, Mission, South of Market, Western Addition</v>
      </c>
    </row>
    <row r="34" spans="1:9" s="14" customFormat="1" ht="52.9" customHeight="1" x14ac:dyDescent="0.25">
      <c r="A34" s="14" t="str">
        <f>'Complete List_09252026'!D153</f>
        <v>Leather and LGBTQ Cultural District</v>
      </c>
      <c r="B34" s="14" t="str">
        <f>'Complete List_09252026'!C153</f>
        <v>Paul Dally</v>
      </c>
      <c r="C34" s="14" t="str">
        <f>'Complete List_09252026'!E153</f>
        <v>584 Castro Street, #140</v>
      </c>
      <c r="D34" s="14" t="str">
        <f>'Complete List_09252026'!F153</f>
        <v>San Francisco</v>
      </c>
      <c r="E34" s="14" t="str">
        <f>'Complete List_09252026'!G153</f>
        <v>CA</v>
      </c>
      <c r="F34" s="14">
        <f>'Complete List_09252026'!H153</f>
        <v>94114</v>
      </c>
      <c r="G34" s="14" t="str">
        <f>'Complete List_09252026'!J153</f>
        <v>Land-use@sflcd.org; paul.dally@sflcd.org; manager@sflcd.org;
president@sflcd.org</v>
      </c>
      <c r="H34" s="14" t="str">
        <f>'Complete List_09252026'!K153</f>
        <v>Electronic</v>
      </c>
      <c r="I34" s="14" t="str">
        <f>'Complete List_09252026'!L153</f>
        <v>South of Market</v>
      </c>
    </row>
    <row r="35" spans="1:9" s="14" customFormat="1" ht="51.75" customHeight="1" x14ac:dyDescent="0.25">
      <c r="A35" s="14" t="str">
        <f>'Complete List_09252026'!D232</f>
        <v>Potrero Boosters Neigborhood Association</v>
      </c>
      <c r="B35" s="14" t="str">
        <f>'Complete List_09252026'!C232</f>
        <v>J.R. Eppler</v>
      </c>
      <c r="C35" s="14" t="str">
        <f>'Complete List_09252026'!E232</f>
        <v>1459 18th Street, Suite 133</v>
      </c>
      <c r="D35" s="14" t="str">
        <f>'Complete List_09252026'!F232</f>
        <v>San Francisco</v>
      </c>
      <c r="E35" s="14" t="str">
        <f>'Complete List_09252026'!G232</f>
        <v>CA</v>
      </c>
      <c r="F35" s="14">
        <f>'Complete List_09252026'!H232</f>
        <v>94107</v>
      </c>
      <c r="G35" s="14" t="str">
        <f>'Complete List_09252026'!J232</f>
        <v>president@potreroboosters.org</v>
      </c>
      <c r="H35" s="14" t="str">
        <f>'Complete List_09252026'!K232</f>
        <v>Electronic</v>
      </c>
      <c r="I35" s="14" t="str">
        <f>'Complete List_09252026'!L232</f>
        <v>Mission, Potrero Hill, South of Market</v>
      </c>
    </row>
    <row r="36" spans="1:9" s="14" customFormat="1" ht="52.9" customHeight="1" x14ac:dyDescent="0.2">
      <c r="A36" s="24" t="str">
        <f>'Complete List_09252026'!D255</f>
        <v>San Francisco Land Use Coalition (SFLUC)</v>
      </c>
      <c r="B36" s="24" t="str">
        <f>'Complete List_09252026'!C255</f>
        <v>Gary Weiss</v>
      </c>
      <c r="C36" s="24" t="str">
        <f>'Complete List_09252026'!E255</f>
        <v>78 Mars Street</v>
      </c>
      <c r="D36" s="24" t="str">
        <f>'Complete List_09252026'!F255</f>
        <v>San Francisco</v>
      </c>
      <c r="E36" s="24" t="str">
        <f>'Complete List_09252026'!G255</f>
        <v>CA</v>
      </c>
      <c r="F36" s="24">
        <f>'Complete List_09252026'!H255</f>
        <v>94114</v>
      </c>
      <c r="G36" s="24" t="str">
        <f>'Complete List_09252026'!J255</f>
        <v>garysfx@gmail.com</v>
      </c>
      <c r="H36" s="24" t="str">
        <f>'Complete List_09252026'!K255</f>
        <v>Electronic</v>
      </c>
      <c r="I36" s="24" t="str">
        <f>'Complete List_09252026'!L255</f>
        <v>Castro/Upper Market, Diamond Heights, Glen Park, Haight Ashbury, Mission, Noe Valley, South of Market, Twin Peaks, Upper Market, Western Addition</v>
      </c>
    </row>
    <row r="37" spans="1:9" s="14" customFormat="1" ht="26.45" customHeight="1" x14ac:dyDescent="0.25">
      <c r="A37" s="14" t="str">
        <f>'Complete List_09252026'!D270</f>
        <v>South Beach/Rincon/ Mission Bay Neighborhood Association</v>
      </c>
      <c r="B37" s="14" t="str">
        <f>'Complete List_09252026'!C270</f>
        <v>Alice Rogers</v>
      </c>
      <c r="C37" s="14" t="str">
        <f>'Complete List_09252026'!E270</f>
        <v>10 South Park Street, Studio 2</v>
      </c>
      <c r="D37" s="14" t="str">
        <f>'Complete List_09252026'!F270</f>
        <v>San Francisco</v>
      </c>
      <c r="E37" s="14" t="str">
        <f>'Complete List_09252026'!G270</f>
        <v>CA</v>
      </c>
      <c r="F37" s="14">
        <f>'Complete List_09252026'!H270</f>
        <v>94017</v>
      </c>
      <c r="G37" s="14" t="str">
        <f>'Complete List_09252026'!J270</f>
        <v>sbrmbna@gmail.com</v>
      </c>
      <c r="H37" s="14" t="str">
        <f>'Complete List_09252026'!K270</f>
        <v>Electronic</v>
      </c>
      <c r="I37" s="14" t="str">
        <f>'Complete List_09252026'!L270</f>
        <v>South of Market</v>
      </c>
    </row>
    <row r="38" spans="1:9" ht="69" customHeight="1" x14ac:dyDescent="0.25">
      <c r="A38" s="6" t="s">
        <v>265</v>
      </c>
      <c r="B38" s="6" t="s">
        <v>264</v>
      </c>
      <c r="C38" s="6" t="s">
        <v>266</v>
      </c>
      <c r="D38" s="6" t="s">
        <v>16</v>
      </c>
      <c r="E38" s="6" t="s">
        <v>17</v>
      </c>
      <c r="F38" s="13">
        <v>94134</v>
      </c>
      <c r="G38" s="6" t="s">
        <v>268</v>
      </c>
      <c r="H38" s="6" t="s">
        <v>63</v>
      </c>
      <c r="I38" s="6" t="s">
        <v>269</v>
      </c>
    </row>
    <row r="39" spans="1:9" s="5" customFormat="1" ht="41.25" customHeight="1" x14ac:dyDescent="0.25">
      <c r="A39" s="5" t="str">
        <f>'Complete List_09252026'!D53</f>
        <v>Castro LGBTQ Cultural District</v>
      </c>
      <c r="B39" s="5" t="str">
        <f>'Complete List_09252026'!C53</f>
        <v>Jesse Sanford &amp; Stephen Torres</v>
      </c>
      <c r="C39" s="5" t="str">
        <f>'Complete List_09252026'!E53</f>
        <v>1800 Market Street</v>
      </c>
      <c r="D39" s="5" t="str">
        <f>'Complete List_09252026'!F53</f>
        <v>San Francisco</v>
      </c>
      <c r="E39" s="5" t="str">
        <f>'Complete List_09252026'!G53</f>
        <v>CA</v>
      </c>
      <c r="F39" s="8">
        <f>'Complete List_09252026'!H53</f>
        <v>94102</v>
      </c>
      <c r="G39" s="5" t="str">
        <f>'Complete List_09252026'!J53</f>
        <v>landuse@castrolgbtq.org</v>
      </c>
      <c r="H39" s="5" t="str">
        <f>'Complete List_09252026'!K53</f>
        <v>Electronic</v>
      </c>
      <c r="I39" s="5" t="str">
        <f>'Complete List_09252026'!L53</f>
        <v>Bernal Heights, Castro/Upper Market, Downtown/Civic Center, Mission, Noe Valley, South of Market</v>
      </c>
    </row>
    <row r="40" spans="1:9" ht="55.15" customHeight="1" x14ac:dyDescent="0.25">
      <c r="A40" s="6" t="str">
        <f>'Complete List_09252026'!D177</f>
        <v>Mid-Market Neighbors</v>
      </c>
      <c r="B40" s="6" t="str">
        <f>'Complete List_09252026'!C177</f>
        <v>Chuck Obermeyer</v>
      </c>
      <c r="C40" s="6" t="str">
        <f>'Complete List_09252026'!E177</f>
        <v>30 7th Street</v>
      </c>
      <c r="D40" s="6" t="str">
        <f>'Complete List_09252026'!F177</f>
        <v>San Francisco</v>
      </c>
      <c r="E40" s="6" t="str">
        <f>'Complete List_09252026'!G177</f>
        <v>CA</v>
      </c>
      <c r="F40" s="6">
        <f>'Complete List_09252026'!H177</f>
        <v>94103</v>
      </c>
      <c r="G40" s="6" t="str">
        <f>'Complete List_09252026'!J177</f>
        <v>chuck@midmarketneighbors.org</v>
      </c>
      <c r="H40" s="6" t="str">
        <f>'Complete List_09252026'!K177</f>
        <v>Electronic</v>
      </c>
      <c r="I40" s="6" t="str">
        <f>'Complete List_09252026'!L177</f>
        <v>Castro/Upper Market, Chinatown, Downtown/Civic Center, Financial District, Nob Hill, Potrero Hill, South of Market, Western Addition</v>
      </c>
    </row>
    <row r="41" spans="1:9" ht="28.5" x14ac:dyDescent="0.25">
      <c r="A41" s="6" t="str">
        <f>'Complete List_09252026'!D46</f>
        <v>Brannan Google Group</v>
      </c>
      <c r="B41" s="6" t="str">
        <f>'Complete List_09252026'!C46</f>
        <v>Dr. Jacques Benghiat</v>
      </c>
      <c r="C41" s="6" t="str">
        <f>'Complete List_09252026'!E46</f>
        <v>219 Brannan Street, Unit 12D</v>
      </c>
      <c r="D41" s="6" t="str">
        <f>'Complete List_09252026'!F46</f>
        <v>San Francisco</v>
      </c>
      <c r="E41" s="6" t="str">
        <f>'Complete List_09252026'!G46</f>
        <v>CA</v>
      </c>
      <c r="F41" s="6">
        <f>'Complete List_09252026'!H46</f>
        <v>94107</v>
      </c>
      <c r="G41" s="6" t="str">
        <f>'Complete List_09252026'!J46</f>
        <v>brannanowner@yahoo.com</v>
      </c>
      <c r="H41" s="6" t="str">
        <f>'Complete List_09252026'!K46</f>
        <v>Electronic</v>
      </c>
      <c r="I41" s="6" t="str">
        <f>'Complete List_09252026'!L46</f>
        <v>South of Market</v>
      </c>
    </row>
    <row r="42" spans="1:9" ht="75.75" customHeight="1" x14ac:dyDescent="0.25">
      <c r="A42" s="6" t="str">
        <f>'Complete List_09252026'!D154</f>
        <v>Liberation Alliance for Economic and Social Change</v>
      </c>
      <c r="B42" s="6" t="str">
        <f>'Complete List_09252026'!C154</f>
        <v>Keith Pavlik</v>
      </c>
      <c r="C42" s="6" t="str">
        <f>'Complete List_09252026'!E154</f>
        <v>2969 Mission Street</v>
      </c>
      <c r="D42" s="6" t="str">
        <f>'Complete List_09252026'!F154</f>
        <v>San Francisco</v>
      </c>
      <c r="E42" s="6" t="str">
        <f>'Complete List_09252026'!G154</f>
        <v>CA</v>
      </c>
      <c r="F42" s="6">
        <f>'Complete List_09252026'!H154</f>
        <v>94110</v>
      </c>
      <c r="G42" s="6" t="str">
        <f>'Complete List_09252026'!J154</f>
        <v>info@liberationalliance.org</v>
      </c>
      <c r="H42" s="6" t="str">
        <f>'Complete List_09252026'!K154</f>
        <v>Electronic</v>
      </c>
      <c r="I42" s="6" t="str">
        <f>'Complete List_09252026'!L154</f>
        <v>Bayview, Bernal Heights, Castro/Upper Market, Chinatown, Downtown/Civic Center, Excelsior, Mission, Nob Hill, Noe Valley, Outer Mission, Potrero Hill, South of Market, Western Addition</v>
      </c>
    </row>
    <row r="43" spans="1:9" ht="27.6" customHeight="1" x14ac:dyDescent="0.25">
      <c r="A43" s="6" t="str">
        <f>'Complete List_09252026'!D85</f>
        <v>Dogpatch Neighborhood Association</v>
      </c>
      <c r="B43" s="6" t="str">
        <f>'Complete List_09252026'!C85</f>
        <v>Donovan Lacy</v>
      </c>
      <c r="C43" s="6" t="str">
        <f>'Complete List_09252026'!E85</f>
        <v>1278 Minnesota Street</v>
      </c>
      <c r="D43" s="6" t="str">
        <f>'Complete List_09252026'!F85</f>
        <v>San Francisco</v>
      </c>
      <c r="E43" s="6" t="str">
        <f>'Complete List_09252026'!G85</f>
        <v>CA</v>
      </c>
      <c r="F43" s="6" t="str">
        <f>'Complete List_09252026'!H85</f>
        <v>94107</v>
      </c>
      <c r="G43" s="6" t="str">
        <f>'Complete List_09252026'!J85</f>
        <v>vp@dogpatchna.org</v>
      </c>
      <c r="H43" s="6" t="str">
        <f>'Complete List_09252026'!K85</f>
        <v>Electronic</v>
      </c>
      <c r="I43" s="6" t="str">
        <f>'Complete List_09252026'!L85</f>
        <v>Bayview, Mission, Potrero Hill, South of Market</v>
      </c>
    </row>
    <row r="44" spans="1:9" ht="31.5" customHeight="1" x14ac:dyDescent="0.25">
      <c r="A44" s="6" t="str">
        <f>'Complete List_09252026'!D316</f>
        <v>Yerba Buena Community Benefit District</v>
      </c>
      <c r="B44" s="6" t="str">
        <f>'Complete List_09252026'!C316</f>
        <v>Brandi Ynocencio</v>
      </c>
      <c r="C44" s="6" t="str">
        <f>'Complete List_09252026'!E316</f>
        <v>750 Howard Street</v>
      </c>
      <c r="D44" s="6" t="str">
        <f>'Complete List_09252026'!F316</f>
        <v>San Francisco</v>
      </c>
      <c r="E44" s="6" t="str">
        <f>'Complete List_09252026'!G316</f>
        <v>CA</v>
      </c>
      <c r="F44" s="6">
        <f>'Complete List_09252026'!H316</f>
        <v>94103</v>
      </c>
      <c r="G44" s="6" t="str">
        <f>'Complete List_09252026'!J316</f>
        <v>bynocencio@ybcbd.org</v>
      </c>
      <c r="H44" s="6" t="str">
        <f>'Complete List_09252026'!K316</f>
        <v>Electronic</v>
      </c>
      <c r="I44" s="6" t="str">
        <f>'Complete List_09252026'!L316</f>
        <v>South of Market</v>
      </c>
    </row>
  </sheetData>
  <autoFilter ref="A1:J1" xr:uid="{00000000-0009-0000-0000-000021000000}">
    <sortState xmlns:xlrd2="http://schemas.microsoft.com/office/spreadsheetml/2017/richdata2" ref="A2:J37">
      <sortCondition descending="1" ref="H1"/>
    </sortState>
  </autoFilter>
  <mergeCells count="3">
    <mergeCell ref="A28:I28"/>
    <mergeCell ref="A24:I24"/>
    <mergeCell ref="A2:I2"/>
  </mergeCells>
  <pageMargins left="0.7" right="0.7" top="0.75" bottom="0.75" header="0.3" footer="0.3"/>
  <pageSetup scale="53" orientation="landscape" horizontalDpi="4294967292" verticalDpi="429496729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pageSetUpPr fitToPage="1"/>
  </sheetPr>
  <dimension ref="A1:J9"/>
  <sheetViews>
    <sheetView zoomScale="75" zoomScaleNormal="75" zoomScalePageLayoutView="75" workbookViewId="0">
      <selection activeCell="A8" sqref="A8:XFD8"/>
    </sheetView>
  </sheetViews>
  <sheetFormatPr defaultColWidth="8.85546875" defaultRowHeight="14.25" x14ac:dyDescent="0.25"/>
  <cols>
    <col min="1" max="1" width="34.140625" style="6" customWidth="1"/>
    <col min="2" max="2" width="20.7109375" style="6" customWidth="1"/>
    <col min="3" max="3" width="32" style="6" customWidth="1"/>
    <col min="4" max="4" width="16" style="6" customWidth="1"/>
    <col min="5" max="6" width="8.85546875" style="6" customWidth="1"/>
    <col min="7" max="8" width="28.85546875" style="6" customWidth="1"/>
    <col min="9" max="9" width="41.140625" style="6" customWidth="1"/>
    <col min="10" max="10" width="8.85546875" style="6" customWidth="1"/>
    <col min="11" max="16384" width="8.85546875" style="6"/>
  </cols>
  <sheetData>
    <row r="1" spans="1:10" s="4" customFormat="1" ht="18" customHeight="1" x14ac:dyDescent="0.25">
      <c r="A1" s="4" t="s">
        <v>3</v>
      </c>
      <c r="B1" s="4" t="str">
        <f>'Complete List_09252026'!C1</f>
        <v>NAME</v>
      </c>
      <c r="C1" s="4" t="str">
        <f>'Complete List_09252026'!E1</f>
        <v>ADDRESS</v>
      </c>
      <c r="D1" s="4" t="str">
        <f>'Complete List_09252026'!F1</f>
        <v>CITY</v>
      </c>
      <c r="E1" s="4" t="str">
        <f>'Complete List_09252026'!G1</f>
        <v>STATE</v>
      </c>
      <c r="F1" s="10" t="str">
        <f>'Complete List_09252026'!H1</f>
        <v>ZIP</v>
      </c>
      <c r="G1" s="4" t="str">
        <f>'Complete List_09252026'!J1</f>
        <v>EMAIL</v>
      </c>
      <c r="H1" s="4" t="s">
        <v>10</v>
      </c>
      <c r="I1" s="4" t="str">
        <f>'Complete List_09252026'!L1</f>
        <v>NEIGHBORHOOD OF INTEREST</v>
      </c>
    </row>
    <row r="2" spans="1:10" s="26" customFormat="1" ht="18" customHeight="1" x14ac:dyDescent="0.25">
      <c r="A2" s="71" t="s">
        <v>1835</v>
      </c>
      <c r="B2" s="69"/>
      <c r="C2" s="69"/>
      <c r="D2" s="69"/>
      <c r="E2" s="69"/>
      <c r="F2" s="69"/>
      <c r="G2" s="69"/>
      <c r="H2" s="69"/>
      <c r="I2" s="69"/>
      <c r="J2" s="28"/>
    </row>
    <row r="3" spans="1:10" s="14" customFormat="1" ht="52.9" customHeight="1" x14ac:dyDescent="0.25">
      <c r="A3" s="14" t="str">
        <f>'Complete List_09252026'!D131</f>
        <v>Hotel Zeppelin</v>
      </c>
      <c r="B3" s="14" t="str">
        <f>'Complete List_09252026'!C131</f>
        <v>Antonio Flores</v>
      </c>
      <c r="C3" s="14" t="str">
        <f>'Complete List_09252026'!E131</f>
        <v>545 Post Street</v>
      </c>
      <c r="D3" s="14" t="str">
        <f>'Complete List_09252026'!F131</f>
        <v>San Francisco</v>
      </c>
      <c r="E3" s="14" t="str">
        <f>'Complete List_09252026'!G131</f>
        <v>CA</v>
      </c>
      <c r="F3" s="14">
        <f>'Complete List_09252026'!H131</f>
        <v>94102</v>
      </c>
      <c r="G3" s="14" t="str">
        <f>'Complete List_09252026'!J131</f>
        <v>antonio.flores@viceroyhotelgroup.com</v>
      </c>
      <c r="H3" s="14" t="str">
        <f>'Complete List_09252026'!K131</f>
        <v>Physical</v>
      </c>
      <c r="I3" s="14" t="str">
        <f>'Complete List_09252026'!L131</f>
        <v>Castro/Upper Market, Chinatown, Downtown/Civic Center, Financial District, Nob Hill, North Beach, South of Market, Treasure Island</v>
      </c>
    </row>
    <row r="4" spans="1:10" s="14" customFormat="1" ht="26.45" customHeight="1" x14ac:dyDescent="0.25">
      <c r="A4" s="14" t="str">
        <f>'Complete List_09252026'!D251</f>
        <v>SF CityWide</v>
      </c>
      <c r="B4" s="14" t="str">
        <f>'Complete List_09252026'!C251</f>
        <v>David Lal</v>
      </c>
      <c r="C4" s="14" t="str">
        <f>'Complete List_09252026'!E251</f>
        <v>142 S. Van Ness Ave</v>
      </c>
      <c r="D4" s="14" t="str">
        <f>'Complete List_09252026'!F251</f>
        <v>San Francisco</v>
      </c>
      <c r="E4" s="14" t="str">
        <f>'Complete List_09252026'!G251</f>
        <v>CA</v>
      </c>
      <c r="F4" s="14">
        <f>'Complete List_09252026'!H251</f>
        <v>94103</v>
      </c>
      <c r="G4" s="14" t="str">
        <f>'Complete List_09252026'!J251</f>
        <v>info@sfcitywide.org</v>
      </c>
      <c r="H4" s="14" t="str">
        <f>'Complete List_09252026'!K251</f>
        <v>Physical</v>
      </c>
      <c r="I4" s="14" t="str">
        <f>'Complete List_09252026'!L251</f>
        <v>Downtown/Civic Center, Financial District, South of Market, Treasure Island</v>
      </c>
    </row>
    <row r="5" spans="1:10" s="14" customFormat="1" ht="60" customHeight="1" x14ac:dyDescent="0.25">
      <c r="A5" s="14" t="str">
        <f>'Complete List_09252026'!D14</f>
        <v>Alliance for a Better District 6</v>
      </c>
      <c r="B5" s="14" t="str">
        <f>'Complete List_09252026'!C14</f>
        <v>Michael Nulty</v>
      </c>
      <c r="C5" s="14" t="str">
        <f>'Complete List_09252026'!E14</f>
        <v>P.O. Box 420782</v>
      </c>
      <c r="D5" s="14" t="str">
        <f>'Complete List_09252026'!F14</f>
        <v>San Francisco</v>
      </c>
      <c r="E5" s="14" t="str">
        <f>'Complete List_09252026'!G14</f>
        <v>CA</v>
      </c>
      <c r="F5" s="14">
        <f>'Complete List_09252026'!H14</f>
        <v>94142</v>
      </c>
      <c r="G5" s="14" t="str">
        <f>'Complete List_09252026'!J14</f>
        <v>sf_district6@yahoo.com</v>
      </c>
      <c r="H5" s="14" t="str">
        <f>'Complete List_09252026'!K14</f>
        <v>Physical</v>
      </c>
      <c r="I5" s="14" t="str">
        <f>'Complete List_09252026'!L14</f>
        <v>Downtown/Civic Center, Financial District, Mission, Nob Hill, South of Market, Treasure Island, Western Addition</v>
      </c>
    </row>
    <row r="6" spans="1:10" s="14" customFormat="1" ht="17.45" customHeight="1" x14ac:dyDescent="0.25">
      <c r="A6" s="68" t="s">
        <v>1836</v>
      </c>
      <c r="B6" s="72"/>
      <c r="C6" s="72"/>
      <c r="D6" s="72"/>
      <c r="E6" s="72"/>
      <c r="F6" s="72"/>
      <c r="G6" s="72"/>
      <c r="H6" s="72"/>
      <c r="I6" s="72"/>
    </row>
    <row r="7" spans="1:10" s="14" customFormat="1" ht="42" customHeight="1" x14ac:dyDescent="0.25">
      <c r="A7" s="14" t="str">
        <f>'Complete List_09252026'!D43</f>
        <v xml:space="preserve">Board of Supervisors </v>
      </c>
      <c r="B7" s="14" t="str">
        <f>'Complete List_09252026'!C43</f>
        <v>Matt Dorsey</v>
      </c>
      <c r="C7" s="14" t="str">
        <f>'Complete List_09252026'!E43</f>
        <v>1 Dr. Carlton B Goodlett Place, Room #244</v>
      </c>
      <c r="D7" s="14" t="str">
        <f>'Complete List_09252026'!F43</f>
        <v>San Francisco</v>
      </c>
      <c r="E7" s="14" t="str">
        <f>'Complete List_09252026'!G43</f>
        <v>CA</v>
      </c>
      <c r="F7" s="14" t="str">
        <f>'Complete List_09252026'!H43</f>
        <v>94102-4689</v>
      </c>
      <c r="G7" s="14" t="str">
        <f>'Complete List_09252026'!J43</f>
        <v>DorseyStaff@sfgov.org; Madison.R.Tam@sfgov.org; Bryan.Dahl@sfgov.org; Leo.Alfaro@sfgov.org</v>
      </c>
      <c r="H7" s="14" t="str">
        <f>'Complete List_09252026'!K43</f>
        <v>Both</v>
      </c>
      <c r="I7" s="14" t="str">
        <f>'Complete List_09252026'!L43</f>
        <v>Downtown/Civic Center, South of Market, Treasure Island/YBI</v>
      </c>
    </row>
    <row r="8" spans="1:10" s="26" customFormat="1" ht="18" customHeight="1" x14ac:dyDescent="0.25">
      <c r="A8" s="70" t="s">
        <v>1842</v>
      </c>
      <c r="B8" s="69"/>
      <c r="C8" s="69"/>
      <c r="D8" s="69"/>
      <c r="E8" s="69"/>
      <c r="F8" s="69"/>
      <c r="G8" s="69"/>
      <c r="H8" s="69"/>
      <c r="I8" s="69"/>
      <c r="J8" s="29"/>
    </row>
    <row r="9" spans="1:10" ht="69" customHeight="1" x14ac:dyDescent="0.25">
      <c r="A9" s="6" t="s">
        <v>265</v>
      </c>
      <c r="B9" s="6" t="s">
        <v>264</v>
      </c>
      <c r="C9" s="6" t="s">
        <v>266</v>
      </c>
      <c r="D9" s="6" t="s">
        <v>16</v>
      </c>
      <c r="E9" s="6" t="s">
        <v>17</v>
      </c>
      <c r="F9" s="6">
        <v>94134</v>
      </c>
      <c r="G9" s="6" t="s">
        <v>268</v>
      </c>
      <c r="H9" s="6" t="s">
        <v>63</v>
      </c>
      <c r="I9" s="6" t="s">
        <v>269</v>
      </c>
    </row>
  </sheetData>
  <autoFilter ref="A1:I1" xr:uid="{00000000-0009-0000-0000-000022000000}">
    <sortState xmlns:xlrd2="http://schemas.microsoft.com/office/spreadsheetml/2017/richdata2" ref="A2:I5">
      <sortCondition descending="1" ref="H1"/>
    </sortState>
  </autoFilter>
  <mergeCells count="3">
    <mergeCell ref="A8:I8"/>
    <mergeCell ref="A2:I2"/>
    <mergeCell ref="A6:I6"/>
  </mergeCells>
  <pageMargins left="0.7" right="0.7" top="0.75" bottom="0.75" header="0.3" footer="0.3"/>
  <pageSetup scale="52" orientation="landscape"/>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J13"/>
  <sheetViews>
    <sheetView zoomScale="75" zoomScaleNormal="75" zoomScalePageLayoutView="75" workbookViewId="0">
      <selection activeCell="A9" sqref="A9:XFD9"/>
    </sheetView>
  </sheetViews>
  <sheetFormatPr defaultColWidth="8.85546875" defaultRowHeight="12.75" x14ac:dyDescent="0.25"/>
  <cols>
    <col min="1" max="1" width="34.140625" style="5" customWidth="1"/>
    <col min="2" max="2" width="20.7109375" style="5" customWidth="1"/>
    <col min="3" max="3" width="32" style="5" customWidth="1"/>
    <col min="4" max="4" width="16" style="5" customWidth="1"/>
    <col min="5" max="5" width="8.85546875" style="5" customWidth="1"/>
    <col min="6" max="6" width="8.85546875" style="8" customWidth="1"/>
    <col min="7" max="8" width="28.85546875" style="5" customWidth="1"/>
    <col min="9" max="9" width="41.140625" style="5" customWidth="1"/>
    <col min="10" max="10" width="8.85546875" style="5" customWidth="1"/>
    <col min="11" max="16384" width="8.85546875" style="5"/>
  </cols>
  <sheetData>
    <row r="1" spans="1:10" s="4" customFormat="1" ht="18" customHeight="1" x14ac:dyDescent="0.25">
      <c r="A1" s="4" t="s">
        <v>3</v>
      </c>
      <c r="B1" s="4" t="str">
        <f>'Complete List_09252026'!C1</f>
        <v>NAME</v>
      </c>
      <c r="C1" s="4" t="str">
        <f>'Complete List_09252026'!E1</f>
        <v>ADDRESS</v>
      </c>
      <c r="D1" s="4" t="str">
        <f>'Complete List_09252026'!F1</f>
        <v>CITY</v>
      </c>
      <c r="E1" s="4" t="str">
        <f>'Complete List_09252026'!G1</f>
        <v>STATE</v>
      </c>
      <c r="F1" s="10" t="str">
        <f>'Complete List_09252026'!H1</f>
        <v>ZIP</v>
      </c>
      <c r="G1" s="4" t="str">
        <f>'Complete List_09252026'!J1</f>
        <v>EMAIL</v>
      </c>
      <c r="H1" s="4" t="s">
        <v>10</v>
      </c>
      <c r="I1" s="4" t="str">
        <f>'Complete List_09252026'!L1</f>
        <v>NEIGHBORHOOD OF INTEREST</v>
      </c>
    </row>
    <row r="2" spans="1:10" s="26" customFormat="1" ht="18" customHeight="1" x14ac:dyDescent="0.25">
      <c r="A2" s="71" t="s">
        <v>1835</v>
      </c>
      <c r="B2" s="69"/>
      <c r="C2" s="69"/>
      <c r="D2" s="69"/>
      <c r="E2" s="69"/>
      <c r="F2" s="69"/>
      <c r="G2" s="69"/>
      <c r="H2" s="69"/>
      <c r="I2" s="69"/>
      <c r="J2" s="28"/>
    </row>
    <row r="3" spans="1:10" s="14" customFormat="1" ht="79.150000000000006" customHeight="1" x14ac:dyDescent="0.25">
      <c r="A3" s="14" t="str">
        <f>'Complete List_09252026'!D261</f>
        <v>Sherwin Williams</v>
      </c>
      <c r="B3" s="14" t="str">
        <f>'Complete List_09252026'!C261</f>
        <v>Francesca Panullo</v>
      </c>
      <c r="C3" s="14" t="str">
        <f>'Complete List_09252026'!E261</f>
        <v>1415 Ocean Ave</v>
      </c>
      <c r="D3" s="14" t="str">
        <f>'Complete List_09252026'!F261</f>
        <v>San Francisco</v>
      </c>
      <c r="E3" s="14" t="str">
        <f>'Complete List_09252026'!G261</f>
        <v>CA</v>
      </c>
      <c r="F3" s="14">
        <f>'Complete List_09252026'!H261</f>
        <v>94112</v>
      </c>
      <c r="G3" s="14" t="str">
        <f>'Complete List_09252026'!J261</f>
        <v>sw8644@sherwin.com</v>
      </c>
      <c r="H3" s="14" t="str">
        <f>'Complete List_09252026'!K261</f>
        <v>Physical</v>
      </c>
      <c r="I3" s="14" t="str">
        <f>'Complete List_09252026'!L261</f>
        <v>Bayview, Bernal Heights, Crocker Amazon, Diamond Heights, Excelsior, Glen Park, Inner Sunset, Lakeshore, Noe Valley, Ocean View, Outer Mission, Outer Sunset, Parkside, Potrero Hill, South Bayshore, Twin Peaks, Visitacion Valley, West of Twin Peaks</v>
      </c>
    </row>
    <row r="4" spans="1:10" s="14" customFormat="1" ht="26.45" customHeight="1" x14ac:dyDescent="0.25">
      <c r="A4" s="14" t="str">
        <f>'Complete List_09252026'!D105</f>
        <v>Forest Knolls Neighborhood Organization</v>
      </c>
      <c r="B4" s="14" t="str">
        <f>'Complete List_09252026'!C105</f>
        <v>Walter Caplan</v>
      </c>
      <c r="C4" s="14" t="str">
        <f>'Complete List_09252026'!E105</f>
        <v>157 Warren Drive</v>
      </c>
      <c r="D4" s="14" t="str">
        <f>'Complete List_09252026'!F105</f>
        <v>San Francisco</v>
      </c>
      <c r="E4" s="14" t="str">
        <f>'Complete List_09252026'!G105</f>
        <v>CA</v>
      </c>
      <c r="F4" s="14" t="str">
        <f>'Complete List_09252026'!H105</f>
        <v>94131-1030</v>
      </c>
      <c r="G4" s="14" t="str">
        <f>'Complete List_09252026'!J105</f>
        <v>forestknolls@comcast.net</v>
      </c>
      <c r="H4" s="14" t="str">
        <f>'Complete List_09252026'!K105</f>
        <v>Physical</v>
      </c>
      <c r="I4" s="14" t="str">
        <f>'Complete List_09252026'!L105</f>
        <v>Inner Sunset, Twin Peaks</v>
      </c>
    </row>
    <row r="5" spans="1:10" s="14" customFormat="1" x14ac:dyDescent="0.25">
      <c r="A5" s="14" t="str">
        <f>'Complete List_09252026'!D297</f>
        <v>Twin Peaks Improvement Association</v>
      </c>
      <c r="B5" s="14" t="str">
        <f>'Complete List_09252026'!C297</f>
        <v>Doris Linnenbach</v>
      </c>
      <c r="C5" s="14" t="str">
        <f>'Complete List_09252026'!E297</f>
        <v>155 St. Germain Avenue</v>
      </c>
      <c r="D5" s="14" t="str">
        <f>'Complete List_09252026'!F297</f>
        <v>San Francisco</v>
      </c>
      <c r="E5" s="14" t="str">
        <f>'Complete List_09252026'!G297</f>
        <v>CA</v>
      </c>
      <c r="F5" s="14" t="str">
        <f>'Complete List_09252026'!H297</f>
        <v>94114</v>
      </c>
      <c r="G5" s="14">
        <f>'Complete List_09252026'!J297</f>
        <v>0</v>
      </c>
      <c r="H5" s="14" t="str">
        <f>'Complete List_09252026'!K297</f>
        <v>Physical</v>
      </c>
      <c r="I5" s="14" t="str">
        <f>'Complete List_09252026'!L297</f>
        <v>Twin Peaks</v>
      </c>
    </row>
    <row r="6" spans="1:10" s="14" customFormat="1" ht="17.45" customHeight="1" x14ac:dyDescent="0.25">
      <c r="A6" s="68" t="s">
        <v>1836</v>
      </c>
      <c r="B6" s="72"/>
      <c r="C6" s="72"/>
      <c r="D6" s="72"/>
      <c r="E6" s="72"/>
      <c r="F6" s="72"/>
      <c r="G6" s="72"/>
      <c r="H6" s="72"/>
      <c r="I6" s="72"/>
    </row>
    <row r="7" spans="1:10" s="14" customFormat="1" ht="42.75" customHeight="1" x14ac:dyDescent="0.25">
      <c r="A7" s="14" t="str">
        <f>'Complete List_09252026'!D40</f>
        <v>Board of Supervisors</v>
      </c>
      <c r="B7" s="14" t="str">
        <f>'Complete List_09252026'!C40</f>
        <v>Myrna Melgar</v>
      </c>
      <c r="C7" s="14" t="str">
        <f>'Complete List_09252026'!E40</f>
        <v>1 Dr. Carlton B Goodlett Place, Room #244</v>
      </c>
      <c r="D7" s="14" t="str">
        <f>'Complete List_09252026'!F40</f>
        <v>San Francisco</v>
      </c>
      <c r="E7" s="14" t="str">
        <f>'Complete List_09252026'!G40</f>
        <v>CA</v>
      </c>
      <c r="F7" s="14" t="str">
        <f>'Complete List_09252026'!H40</f>
        <v>94102-4689</v>
      </c>
      <c r="G7" s="14" t="str">
        <f>'Complete List_09252026'!J40</f>
        <v>myrna.melgar@sfgov.org;
Jennifer.Fieber@sfgov.org;
Megan.Imperial@sfgov.org;
Lila.Carrillo@sfgov.org;
Jen.Low@sfgov.org;
melgarstaff@sfgov.org</v>
      </c>
      <c r="H7" s="14" t="str">
        <f>'Complete List_09252026'!K40</f>
        <v>Both</v>
      </c>
      <c r="I7" s="14" t="str">
        <f>'Complete List_09252026'!L40</f>
        <v>Inner Sunset, Lakeshore, Ocean View, Parkside, Twin Peaks, West of Twin Peaks</v>
      </c>
    </row>
    <row r="8" spans="1:10" s="14" customFormat="1" ht="66" customHeight="1" x14ac:dyDescent="0.25">
      <c r="A8" s="14" t="str">
        <f>'Complete List_09252026'!D38</f>
        <v>Board of Supervisors</v>
      </c>
      <c r="B8" s="14" t="str">
        <f>'Complete List_09252026'!C38</f>
        <v>Rafael Mandelman</v>
      </c>
      <c r="C8" s="14" t="str">
        <f>'Complete List_09252026'!E38</f>
        <v>1 Dr. Carlton B Goodlett Place, Room #244</v>
      </c>
      <c r="D8" s="14" t="str">
        <f>'Complete List_09252026'!F38</f>
        <v>San Francisco</v>
      </c>
      <c r="E8" s="14" t="str">
        <f>'Complete List_09252026'!G38</f>
        <v>CA</v>
      </c>
      <c r="F8" s="14" t="str">
        <f>'Complete List_09252026'!H38</f>
        <v>94102-4689</v>
      </c>
      <c r="G8" s="14" t="str">
        <f>'Complete List_09252026'!J38</f>
        <v>Rafael.Mandelman@sfgov.org;
Kyle.Smeallie@sfgov.org;
Tom.Temprano@sfgov.org;
jacob.bintliff@sfgov.org; 
mandelmanstaff@sfgov.org</v>
      </c>
      <c r="H8" s="14" t="str">
        <f>'Complete List_09252026'!K38</f>
        <v>Both</v>
      </c>
      <c r="I8" s="14" t="str">
        <f>'Complete List_09252026'!L38</f>
        <v>Castro/Upper Market, Diamond Heights, Glen Park, Noe Valley, Twin Peaks</v>
      </c>
    </row>
    <row r="9" spans="1:10" s="26" customFormat="1" ht="18" customHeight="1" x14ac:dyDescent="0.25">
      <c r="A9" s="70" t="s">
        <v>1842</v>
      </c>
      <c r="B9" s="69"/>
      <c r="C9" s="69"/>
      <c r="D9" s="69"/>
      <c r="E9" s="69"/>
      <c r="F9" s="69"/>
      <c r="G9" s="69"/>
      <c r="H9" s="69"/>
      <c r="I9" s="69"/>
      <c r="J9" s="29"/>
    </row>
    <row r="10" spans="1:10" s="14" customFormat="1" ht="26.45" customHeight="1" x14ac:dyDescent="0.25">
      <c r="A10" s="14" t="str">
        <f>'Complete List_09252026'!D180</f>
        <v>Midtown Terrace Homeowners Association</v>
      </c>
      <c r="B10" s="14" t="str">
        <f>'Complete List_09252026'!C180</f>
        <v>Joseph Humphreys</v>
      </c>
      <c r="C10" s="14" t="str">
        <f>'Complete List_09252026'!E180</f>
        <v>20 Knollview Way</v>
      </c>
      <c r="D10" s="14" t="str">
        <f>'Complete List_09252026'!F180</f>
        <v>San Francisco</v>
      </c>
      <c r="E10" s="14" t="str">
        <f>'Complete List_09252026'!G180</f>
        <v>CA</v>
      </c>
      <c r="F10" s="14" t="str">
        <f>'Complete List_09252026'!H180</f>
        <v>94131</v>
      </c>
      <c r="G10" s="14" t="str">
        <f>'Complete List_09252026'!J180</f>
        <v>mthoa@midtownterrace.org</v>
      </c>
      <c r="H10" s="14" t="str">
        <f>'Complete List_09252026'!K180</f>
        <v>Electronic</v>
      </c>
      <c r="I10" s="14" t="str">
        <f>'Complete List_09252026'!L180</f>
        <v>Twin Peaks</v>
      </c>
    </row>
    <row r="11" spans="1:10" s="14" customFormat="1" ht="52.9" customHeight="1" x14ac:dyDescent="0.25">
      <c r="A11" s="14" t="str">
        <f>'Complete List_09252026'!D255</f>
        <v>San Francisco Land Use Coalition (SFLUC)</v>
      </c>
      <c r="B11" s="14" t="str">
        <f>'Complete List_09252026'!C255</f>
        <v>Gary Weiss</v>
      </c>
      <c r="C11" s="14" t="str">
        <f>'Complete List_09252026'!E255</f>
        <v>78 Mars Street</v>
      </c>
      <c r="D11" s="14" t="str">
        <f>'Complete List_09252026'!F255</f>
        <v>San Francisco</v>
      </c>
      <c r="E11" s="14" t="str">
        <f>'Complete List_09252026'!G255</f>
        <v>CA</v>
      </c>
      <c r="F11" s="14">
        <f>'Complete List_09252026'!H255</f>
        <v>94114</v>
      </c>
      <c r="G11" s="14" t="str">
        <f>'Complete List_09252026'!J255</f>
        <v>garysfx@gmail.com</v>
      </c>
      <c r="H11" s="14" t="str">
        <f>'Complete List_09252026'!K255</f>
        <v>Electronic</v>
      </c>
      <c r="I11" s="14" t="str">
        <f>'Complete List_09252026'!L255</f>
        <v>Castro/Upper Market, Diamond Heights, Glen Park, Haight Ashbury, Mission, Noe Valley, South of Market, Twin Peaks, Upper Market, Western Addition</v>
      </c>
    </row>
    <row r="12" spans="1:10" s="14" customFormat="1" ht="26.45" customHeight="1" x14ac:dyDescent="0.25">
      <c r="A12" s="14" t="str">
        <f>'Complete List_09252026'!D262</f>
        <v>Sherwood Forest Homeowners Association</v>
      </c>
      <c r="B12" s="14" t="str">
        <f>'Complete List_09252026'!C262</f>
        <v>Tom Hoshiyama / Hiliarie Connolly</v>
      </c>
      <c r="C12" s="14" t="str">
        <f>'Complete List_09252026'!E262</f>
        <v>111 Robinhood Drive</v>
      </c>
      <c r="D12" s="14" t="str">
        <f>'Complete List_09252026'!F262</f>
        <v>San Francisco</v>
      </c>
      <c r="E12" s="14" t="str">
        <f>'Complete List_09252026'!G262</f>
        <v>CA</v>
      </c>
      <c r="F12" s="14">
        <f>'Complete List_09252026'!H262</f>
        <v>94127</v>
      </c>
      <c r="G12" s="14" t="str">
        <f>'Complete List_09252026'!J262</f>
        <v>ConnollyHilarie@gmail.com</v>
      </c>
      <c r="H12" s="14" t="str">
        <f>'Complete List_09252026'!K262</f>
        <v>Electronic</v>
      </c>
      <c r="I12" s="14" t="str">
        <f>'Complete List_09252026'!L262</f>
        <v>Diamond Heights, Twin Peaks, West of Twin Peaks</v>
      </c>
    </row>
    <row r="13" spans="1:10" s="14" customFormat="1" ht="26.45" customHeight="1" x14ac:dyDescent="0.25">
      <c r="A13" s="14" t="str">
        <f>'Complete List_09252026'!D296</f>
        <v>Twin Peaks Eastside Neighborhood Alliance (TPENA)</v>
      </c>
      <c r="B13" s="14" t="str">
        <f>'Complete List_09252026'!C296</f>
        <v>Nancy O'Brien</v>
      </c>
      <c r="C13" s="14" t="str">
        <f>'Complete List_09252026'!E296</f>
        <v>74 Crestline Drive, #9</v>
      </c>
      <c r="D13" s="14" t="str">
        <f>'Complete List_09252026'!F296</f>
        <v>San Francisco</v>
      </c>
      <c r="E13" s="14" t="str">
        <f>'Complete List_09252026'!G296</f>
        <v>CA</v>
      </c>
      <c r="F13" s="14">
        <f>'Complete List_09252026'!H296</f>
        <v>94131</v>
      </c>
      <c r="G13" s="14" t="str">
        <f>'Complete List_09252026'!J296</f>
        <v>nancyob6@comcast.net</v>
      </c>
      <c r="H13" s="14" t="str">
        <f>'Complete List_09252026'!K296</f>
        <v>Electronic</v>
      </c>
      <c r="I13" s="14" t="str">
        <f>'Complete List_09252026'!L296</f>
        <v>Diamond Heights, Twin Peaks</v>
      </c>
    </row>
  </sheetData>
  <autoFilter ref="A1:I1" xr:uid="{00000000-0009-0000-0000-000023000000}">
    <sortState xmlns:xlrd2="http://schemas.microsoft.com/office/spreadsheetml/2017/richdata2" ref="A2:I10">
      <sortCondition descending="1" ref="H1"/>
    </sortState>
  </autoFilter>
  <mergeCells count="3">
    <mergeCell ref="A9:I9"/>
    <mergeCell ref="A2:I2"/>
    <mergeCell ref="A6:I6"/>
  </mergeCells>
  <pageMargins left="0.7" right="0.7" top="0.75" bottom="0.75" header="0.3" footer="0.3"/>
  <pageSetup scale="52"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J25"/>
  <sheetViews>
    <sheetView zoomScale="75" zoomScaleNormal="75" zoomScalePageLayoutView="75" workbookViewId="0">
      <selection activeCell="J25" sqref="A25:XFD25"/>
    </sheetView>
  </sheetViews>
  <sheetFormatPr defaultColWidth="8.85546875" defaultRowHeight="14.25" x14ac:dyDescent="0.25"/>
  <cols>
    <col min="1" max="1" width="34.140625" style="6" customWidth="1"/>
    <col min="2" max="2" width="20.7109375" style="6" customWidth="1"/>
    <col min="3" max="3" width="32" style="6" customWidth="1"/>
    <col min="4" max="4" width="16" style="6" customWidth="1"/>
    <col min="5" max="5" width="8.85546875" style="6" customWidth="1"/>
    <col min="6" max="6" width="8.85546875" style="13" customWidth="1"/>
    <col min="7" max="8" width="28.85546875" style="6" customWidth="1"/>
    <col min="9" max="9" width="41.140625" style="6" customWidth="1"/>
    <col min="10" max="10" width="8.85546875" style="6" customWidth="1"/>
    <col min="11" max="16384" width="8.85546875" style="6"/>
  </cols>
  <sheetData>
    <row r="1" spans="1:10" s="4" customFormat="1" ht="18" customHeight="1" x14ac:dyDescent="0.25">
      <c r="A1" s="4" t="s">
        <v>3</v>
      </c>
      <c r="B1" s="4" t="str">
        <f>'Complete List_09252026'!C1</f>
        <v>NAME</v>
      </c>
      <c r="C1" s="4" t="str">
        <f>'Complete List_09252026'!E1</f>
        <v>ADDRESS</v>
      </c>
      <c r="D1" s="4" t="str">
        <f>'Complete List_09252026'!F1</f>
        <v>CITY</v>
      </c>
      <c r="E1" s="4" t="str">
        <f>'Complete List_09252026'!G1</f>
        <v>STATE</v>
      </c>
      <c r="F1" s="10" t="str">
        <f>'Complete List_09252026'!H1</f>
        <v>ZIP</v>
      </c>
      <c r="G1" s="4" t="str">
        <f>'Complete List_09252026'!J1</f>
        <v>EMAIL</v>
      </c>
      <c r="H1" s="4" t="s">
        <v>10</v>
      </c>
      <c r="I1" s="4" t="str">
        <f>'Complete List_09252026'!L1</f>
        <v>NEIGHBORHOOD OF INTEREST</v>
      </c>
    </row>
    <row r="2" spans="1:10" s="26" customFormat="1" ht="18" customHeight="1" x14ac:dyDescent="0.25">
      <c r="A2" s="71" t="s">
        <v>1835</v>
      </c>
      <c r="B2" s="69"/>
      <c r="C2" s="69"/>
      <c r="D2" s="69"/>
      <c r="E2" s="69"/>
      <c r="F2" s="69"/>
      <c r="G2" s="69"/>
      <c r="H2" s="69"/>
      <c r="I2" s="69"/>
      <c r="J2" s="28"/>
    </row>
    <row r="3" spans="1:10" s="14" customFormat="1" ht="26.45" customHeight="1" x14ac:dyDescent="0.25">
      <c r="A3" s="14" t="str">
        <f>'Complete List_09252026'!D195</f>
        <v>Neighbors for Responsible Growth on Olmstead Street</v>
      </c>
      <c r="B3" s="14" t="str">
        <f>'Complete List_09252026'!C195</f>
        <v>Balint Seeber, Lesley Kohn</v>
      </c>
      <c r="C3" s="14" t="str">
        <f>'Complete List_09252026'!E195</f>
        <v>825 Olmstead Street</v>
      </c>
      <c r="D3" s="14" t="str">
        <f>'Complete List_09252026'!F195</f>
        <v>San Francisco</v>
      </c>
      <c r="E3" s="14" t="str">
        <f>'Complete List_09252026'!G195</f>
        <v>CA</v>
      </c>
      <c r="F3" s="14">
        <f>'Complete List_09252026'!H195</f>
        <v>94134</v>
      </c>
      <c r="G3" s="14" t="str">
        <f>'Complete List_09252026'!J195</f>
        <v>nrg830olmstead@gmail.com</v>
      </c>
      <c r="H3" s="14" t="str">
        <f>'Complete List_09252026'!K195</f>
        <v>Physical</v>
      </c>
      <c r="I3" s="14" t="str">
        <f>'Complete List_09252026'!L195</f>
        <v>Visitacion Valley</v>
      </c>
    </row>
    <row r="4" spans="1:10" s="14" customFormat="1" ht="79.150000000000006" customHeight="1" x14ac:dyDescent="0.25">
      <c r="A4" s="14" t="str">
        <f>'Complete List_09252026'!D261</f>
        <v>Sherwin Williams</v>
      </c>
      <c r="B4" s="14" t="str">
        <f>'Complete List_09252026'!C261</f>
        <v>Francesca Panullo</v>
      </c>
      <c r="C4" s="14" t="str">
        <f>'Complete List_09252026'!E261</f>
        <v>1415 Ocean Ave</v>
      </c>
      <c r="D4" s="14" t="str">
        <f>'Complete List_09252026'!F261</f>
        <v>San Francisco</v>
      </c>
      <c r="E4" s="14" t="str">
        <f>'Complete List_09252026'!G261</f>
        <v>CA</v>
      </c>
      <c r="F4" s="14">
        <f>'Complete List_09252026'!H261</f>
        <v>94112</v>
      </c>
      <c r="G4" s="14" t="str">
        <f>'Complete List_09252026'!J261</f>
        <v>sw8644@sherwin.com</v>
      </c>
      <c r="H4" s="14" t="str">
        <f>'Complete List_09252026'!K261</f>
        <v>Physical</v>
      </c>
      <c r="I4" s="14" t="str">
        <f>'Complete List_09252026'!L261</f>
        <v>Bayview, Bernal Heights, Crocker Amazon, Diamond Heights, Excelsior, Glen Park, Inner Sunset, Lakeshore, Noe Valley, Ocean View, Outer Mission, Outer Sunset, Parkside, Potrero Hill, South Bayshore, Twin Peaks, Visitacion Valley, West of Twin Peaks</v>
      </c>
    </row>
    <row r="5" spans="1:10" s="14" customFormat="1" ht="26.45" customHeight="1" x14ac:dyDescent="0.25">
      <c r="A5" s="14" t="str">
        <f>'Complete List_09252026'!D278</f>
        <v>Sunnydale Tenant Association</v>
      </c>
      <c r="B5" s="14" t="str">
        <f>'Complete List_09252026'!C278</f>
        <v>Harold Miller</v>
      </c>
      <c r="C5" s="14" t="str">
        <f>'Complete List_09252026'!E278</f>
        <v>270 Malosi St Apt 417A</v>
      </c>
      <c r="D5" s="14" t="str">
        <f>'Complete List_09252026'!F278</f>
        <v>San Francisco</v>
      </c>
      <c r="E5" s="14" t="str">
        <f>'Complete List_09252026'!G278</f>
        <v>CA</v>
      </c>
      <c r="F5" s="14" t="str">
        <f>'Complete List_09252026'!H278</f>
        <v>94134-2607</v>
      </c>
      <c r="G5" s="14" t="str">
        <f>'Complete List_09252026'!J278</f>
        <v>haroldbigal007@yahoo.com</v>
      </c>
      <c r="H5" s="14" t="str">
        <f>'Complete List_09252026'!K278</f>
        <v>Physical</v>
      </c>
      <c r="I5" s="14" t="str">
        <f>'Complete List_09252026'!L278</f>
        <v>Visitacion Valley</v>
      </c>
    </row>
    <row r="6" spans="1:10" s="14" customFormat="1" ht="26.45" customHeight="1" x14ac:dyDescent="0.25">
      <c r="A6" s="14" t="str">
        <f>'Complete List_09252026'!D18</f>
        <v>Asian Pacific American Community Center</v>
      </c>
      <c r="B6" s="14" t="str">
        <f>'Complete List_09252026'!C18</f>
        <v xml:space="preserve"> </v>
      </c>
      <c r="C6" s="14" t="str">
        <f>'Complete List_09252026'!E18</f>
        <v>50 Raymond Ave</v>
      </c>
      <c r="D6" s="14" t="str">
        <f>'Complete List_09252026'!F18</f>
        <v>San Francisco</v>
      </c>
      <c r="E6" s="14" t="str">
        <f>'Complete List_09252026'!G18</f>
        <v>CA</v>
      </c>
      <c r="F6" s="14">
        <f>'Complete List_09252026'!H18</f>
        <v>94134</v>
      </c>
      <c r="G6" s="14" t="str">
        <f>'Complete List_09252026'!J18</f>
        <v>info@apaccsf.org</v>
      </c>
      <c r="H6" s="14" t="str">
        <f>'Complete List_09252026'!K18</f>
        <v>Physical</v>
      </c>
      <c r="I6" s="14" t="str">
        <f>'Complete List_09252026'!L18</f>
        <v>Visitacion Valley</v>
      </c>
    </row>
    <row r="7" spans="1:10" s="14" customFormat="1" ht="13.15" customHeight="1" x14ac:dyDescent="0.25">
      <c r="A7" s="14" t="str">
        <f>'Complete List_09252026'!D198</f>
        <v>Nextdoor in Little Hollywood</v>
      </c>
      <c r="B7" s="14" t="str">
        <f>'Complete List_09252026'!C198</f>
        <v>Russel Morine</v>
      </c>
      <c r="C7" s="14" t="str">
        <f>'Complete List_09252026'!E198</f>
        <v>64 Gillette Avenue</v>
      </c>
      <c r="D7" s="14" t="str">
        <f>'Complete List_09252026'!F198</f>
        <v>San Francisco</v>
      </c>
      <c r="E7" s="14" t="str">
        <f>'Complete List_09252026'!G198</f>
        <v>CA</v>
      </c>
      <c r="F7" s="14" t="str">
        <f>'Complete List_09252026'!H198</f>
        <v>94134</v>
      </c>
      <c r="G7" s="14" t="str">
        <f>'Complete List_09252026'!J198</f>
        <v>rmorine@aol.com</v>
      </c>
      <c r="H7" s="14" t="str">
        <f>'Complete List_09252026'!K198</f>
        <v>Physical</v>
      </c>
      <c r="I7" s="14" t="str">
        <f>'Complete List_09252026'!L198</f>
        <v>Visitacion Valley</v>
      </c>
    </row>
    <row r="8" spans="1:10" s="14" customFormat="1" ht="26.45" customHeight="1" x14ac:dyDescent="0.25">
      <c r="A8" s="14" t="str">
        <f>'Complete List_09252026'!D221</f>
        <v>Outer Mission Residents Association</v>
      </c>
      <c r="B8" s="14" t="str">
        <f>'Complete List_09252026'!C221</f>
        <v>Joelle Kenealey</v>
      </c>
      <c r="C8" s="14" t="str">
        <f>'Complete List_09252026'!E221</f>
        <v>P. O. Box 34426</v>
      </c>
      <c r="D8" s="14" t="str">
        <f>'Complete List_09252026'!F221</f>
        <v>San Francisco</v>
      </c>
      <c r="E8" s="14" t="str">
        <f>'Complete List_09252026'!G221</f>
        <v>CA</v>
      </c>
      <c r="F8" s="14">
        <f>'Complete List_09252026'!H221</f>
        <v>94134</v>
      </c>
      <c r="G8" s="14" t="str">
        <f>'Complete List_09252026'!J221</f>
        <v>sfommra@gmail.com</v>
      </c>
      <c r="H8" s="14" t="str">
        <f>'Complete List_09252026'!K221</f>
        <v>Physical</v>
      </c>
      <c r="I8" s="14" t="str">
        <f>'Complete List_09252026'!L221</f>
        <v>Excelsior, Outer Mission, Crocker Amazon, Visitacion Valley</v>
      </c>
    </row>
    <row r="9" spans="1:10" s="14" customFormat="1" ht="13.15" customHeight="1" x14ac:dyDescent="0.25">
      <c r="A9" s="14" t="str">
        <f>'Complete List_09252026'!D308</f>
        <v>Visitacion Valley Greenway/GOAL</v>
      </c>
      <c r="B9" s="14" t="str">
        <f>'Complete List_09252026'!C308</f>
        <v>Fran  Martin</v>
      </c>
      <c r="C9" s="14" t="str">
        <f>'Complete List_09252026'!E308</f>
        <v>186 Arleta Avenue</v>
      </c>
      <c r="D9" s="14" t="str">
        <f>'Complete List_09252026'!F308</f>
        <v>San Francisco</v>
      </c>
      <c r="E9" s="14" t="str">
        <f>'Complete List_09252026'!G308</f>
        <v>CA</v>
      </c>
      <c r="F9" s="14">
        <f>'Complete List_09252026'!H308</f>
        <v>94134</v>
      </c>
      <c r="G9" s="14" t="str">
        <f>'Complete List_09252026'!J308</f>
        <v>fma6764860@aol.com</v>
      </c>
      <c r="H9" s="14" t="str">
        <f>'Complete List_09252026'!K308</f>
        <v>Physical</v>
      </c>
      <c r="I9" s="14" t="str">
        <f>'Complete List_09252026'!L308</f>
        <v>Visitacion Valley</v>
      </c>
    </row>
    <row r="10" spans="1:10" s="14" customFormat="1" ht="17.45" customHeight="1" x14ac:dyDescent="0.25">
      <c r="A10" s="68" t="s">
        <v>1836</v>
      </c>
      <c r="B10" s="72"/>
      <c r="C10" s="72"/>
      <c r="D10" s="72"/>
      <c r="E10" s="72"/>
      <c r="F10" s="72"/>
      <c r="G10" s="72"/>
      <c r="H10" s="72"/>
      <c r="I10" s="72"/>
    </row>
    <row r="11" spans="1:10" s="14" customFormat="1" ht="26.45" customHeight="1" x14ac:dyDescent="0.25">
      <c r="A11" s="14" t="str">
        <f>'Complete List_09252026'!D37</f>
        <v>Board of Supervisors</v>
      </c>
      <c r="B11" s="14" t="str">
        <f>'Complete List_09252026'!C37</f>
        <v>Chyanne Chen</v>
      </c>
      <c r="C11" s="14" t="str">
        <f>'Complete List_09252026'!E37</f>
        <v>1 Dr. Carlton B Goodlett Place, Room #244</v>
      </c>
      <c r="D11" s="14" t="str">
        <f>'Complete List_09252026'!F37</f>
        <v>San Francisco</v>
      </c>
      <c r="E11" s="14" t="str">
        <f>'Complete List_09252026'!G37</f>
        <v>CA</v>
      </c>
      <c r="F11" s="14" t="str">
        <f>'Complete List_09252026'!H37</f>
        <v>94102-4689</v>
      </c>
      <c r="G11" s="14" t="str">
        <f>'Complete List_09252026'!J37</f>
        <v>ChenStaff@sfgov.org;
Charlie.Sciammas@sfgov.org</v>
      </c>
      <c r="H11" s="14" t="str">
        <f>'Complete List_09252026'!K37</f>
        <v>Both</v>
      </c>
      <c r="I11" s="14" t="str">
        <f>'Complete List_09252026'!L37</f>
        <v>Crocker Amazon, Excelsior, Outer Mission, Visitacion Valley</v>
      </c>
    </row>
    <row r="12" spans="1:10" s="14" customFormat="1" ht="52.9" customHeight="1" x14ac:dyDescent="0.25">
      <c r="A12" s="14" t="str">
        <f>'Complete List_09252026'!D34</f>
        <v>Board of Supervisors</v>
      </c>
      <c r="B12" s="14" t="str">
        <f>'Complete List_09252026'!C34</f>
        <v>Shamann Walton</v>
      </c>
      <c r="C12" s="14" t="str">
        <f>'Complete List_09252026'!E34</f>
        <v>1 Dr. Carlton B Goodlett Place, Room #244</v>
      </c>
      <c r="D12" s="14" t="str">
        <f>'Complete List_09252026'!F34</f>
        <v>San Francisco</v>
      </c>
      <c r="E12" s="14" t="str">
        <f>'Complete List_09252026'!G34</f>
        <v>CA</v>
      </c>
      <c r="F12" s="14" t="str">
        <f>'Complete List_09252026'!H34</f>
        <v>94102-4689</v>
      </c>
      <c r="G12" s="14" t="str">
        <f>'Complete List_09252026'!J34</f>
        <v>waltonstaff@sfgov.org; Percy.Burch@sfgov.org; Tracy.Gallardo@sfgov.org; Natalie.Gee@sfgov.org</v>
      </c>
      <c r="H12" s="14" t="str">
        <f>'Complete List_09252026'!K34</f>
        <v>Both</v>
      </c>
      <c r="I12" s="14" t="str">
        <f>'Complete List_09252026'!L34</f>
        <v>Bayview, Potrero Hill, Visitacion Valley</v>
      </c>
    </row>
    <row r="13" spans="1:10" s="14" customFormat="1" ht="45.75" customHeight="1" x14ac:dyDescent="0.25">
      <c r="A13" s="14" t="str">
        <f>'Complete List_09252026'!D44</f>
        <v>Board of Supervisors</v>
      </c>
      <c r="B13" s="14" t="str">
        <f>'Complete List_09252026'!C44</f>
        <v>Jackie Fielder</v>
      </c>
      <c r="C13" s="14" t="str">
        <f>'Complete List_09252026'!E44</f>
        <v>1 Dr. Carlton B Goodlett Place, Room #244</v>
      </c>
      <c r="D13" s="14" t="str">
        <f>'Complete List_09252026'!F44</f>
        <v>San Francisco</v>
      </c>
      <c r="E13" s="14" t="str">
        <f>'Complete List_09252026'!G44</f>
        <v>CA</v>
      </c>
      <c r="F13" s="14" t="str">
        <f>'Complete List_09252026'!H44</f>
        <v>94102-4689</v>
      </c>
      <c r="G13" s="14" t="str">
        <f>'Complete List_09252026'!J44</f>
        <v>FielderStaff@sfgov.org;
Ana.Herrera@sfgov.org;
Preston.Kilgore@sfgov.org</v>
      </c>
      <c r="H13" s="14" t="str">
        <f>'Complete List_09252026'!K44</f>
        <v>Both</v>
      </c>
      <c r="I13" s="14" t="str">
        <f>'Complete List_09252026'!L44</f>
        <v>Bernal Heights, Excelsior, Mission, Visitacion Valley</v>
      </c>
    </row>
    <row r="14" spans="1:10" s="26" customFormat="1" ht="18" customHeight="1" x14ac:dyDescent="0.25">
      <c r="A14" s="70" t="s">
        <v>1842</v>
      </c>
      <c r="B14" s="69"/>
      <c r="C14" s="69"/>
      <c r="D14" s="69"/>
      <c r="E14" s="69"/>
      <c r="F14" s="69"/>
      <c r="G14" s="69"/>
      <c r="H14" s="69"/>
      <c r="I14" s="69"/>
      <c r="J14" s="29"/>
    </row>
    <row r="15" spans="1:10" s="14" customFormat="1" ht="26.45" customHeight="1" x14ac:dyDescent="0.25">
      <c r="A15" s="14" t="str">
        <f>'Complete List_09252026'!D119</f>
        <v>Greenaction for Health and Environmental Justice</v>
      </c>
      <c r="B15" s="14" t="str">
        <f>'Complete List_09252026'!C119</f>
        <v>Bradley Angel</v>
      </c>
      <c r="C15" s="14" t="str">
        <f>'Complete List_09252026'!E119</f>
        <v>315 Sutter Street, 2nd Floor</v>
      </c>
      <c r="D15" s="14" t="str">
        <f>'Complete List_09252026'!F119</f>
        <v>San Francisco</v>
      </c>
      <c r="E15" s="14" t="str">
        <f>'Complete List_09252026'!G119</f>
        <v>CA</v>
      </c>
      <c r="F15" s="14">
        <f>'Complete List_09252026'!H119</f>
        <v>94108</v>
      </c>
      <c r="G15" s="14" t="str">
        <f>'Complete List_09252026'!J119</f>
        <v>greenaction@greenaction.org</v>
      </c>
      <c r="H15" s="14" t="str">
        <f>'Complete List_09252026'!K119</f>
        <v>Electronic</v>
      </c>
      <c r="I15" s="14" t="str">
        <f>'Complete List_09252026'!L119</f>
        <v>Bayview, Mission, Potrero Hill, Visitacion Valley</v>
      </c>
    </row>
    <row r="16" spans="1:10" s="14" customFormat="1" ht="13.15" customHeight="1" x14ac:dyDescent="0.25">
      <c r="A16" s="14" t="str">
        <f>'Complete List_09252026'!D248</f>
        <v>SF Bay View Newspaper</v>
      </c>
      <c r="B16" s="14" t="str">
        <f>'Complete List_09252026'!C248</f>
        <v>Nube Brown</v>
      </c>
      <c r="C16" s="14" t="str">
        <f>'Complete List_09252026'!E248</f>
        <v>4917 Third Street</v>
      </c>
      <c r="D16" s="14" t="str">
        <f>'Complete List_09252026'!F248</f>
        <v>San Francisco</v>
      </c>
      <c r="E16" s="14" t="str">
        <f>'Complete List_09252026'!G248</f>
        <v>CA</v>
      </c>
      <c r="F16" s="14" t="str">
        <f>'Complete List_09252026'!H248</f>
        <v>94124</v>
      </c>
      <c r="G16" s="14" t="str">
        <f>'Complete List_09252026'!J248</f>
        <v>editor@sfbayview.com</v>
      </c>
      <c r="H16" s="14" t="str">
        <f>'Complete List_09252026'!K248</f>
        <v>Electronic</v>
      </c>
      <c r="I16" s="14" t="str">
        <f>'Complete List_09252026'!L248</f>
        <v>Bayview, Potrero Hill, Visitacion Valley</v>
      </c>
    </row>
    <row r="17" spans="1:9" s="14" customFormat="1" ht="26.45" customHeight="1" x14ac:dyDescent="0.25">
      <c r="A17" s="14" t="str">
        <f>'Complete List_09252026'!D307</f>
        <v>Visitacion Valley Connections</v>
      </c>
      <c r="B17" s="14" t="str">
        <f>'Complete List_09252026'!C307</f>
        <v>Russel Morine</v>
      </c>
      <c r="C17" s="14" t="str">
        <f>'Complete List_09252026'!E307</f>
        <v>P.O. Box 34003</v>
      </c>
      <c r="D17" s="14" t="str">
        <f>'Complete List_09252026'!F307</f>
        <v>San Francisco</v>
      </c>
      <c r="E17" s="14" t="str">
        <f>'Complete List_09252026'!G307</f>
        <v>CA</v>
      </c>
      <c r="F17" s="14">
        <f>'Complete List_09252026'!H307</f>
        <v>94134</v>
      </c>
      <c r="G17" s="14" t="str">
        <f>'Complete List_09252026'!J307</f>
        <v>VisitacionValleyConnections@gmail.com</v>
      </c>
      <c r="H17" s="14" t="str">
        <f>'Complete List_09252026'!K307</f>
        <v>Electronic</v>
      </c>
      <c r="I17" s="14" t="str">
        <f>'Complete List_09252026'!L307</f>
        <v>Visitacion Valley</v>
      </c>
    </row>
    <row r="18" spans="1:9" s="14" customFormat="1" ht="26.45" customHeight="1" x14ac:dyDescent="0.25">
      <c r="A18" s="14" t="str">
        <f>'Complete List_09252026'!D317</f>
        <v>Young Community Developers (YCD)</v>
      </c>
      <c r="B18" s="14" t="str">
        <f>'Complete List_09252026'!C317</f>
        <v>Zachary Weisenburger</v>
      </c>
      <c r="C18" s="14" t="str">
        <f>'Complete List_09252026'!E317</f>
        <v>1715 Yosemite Avenue</v>
      </c>
      <c r="D18" s="14" t="str">
        <f>'Complete List_09252026'!F317</f>
        <v>San Francisco</v>
      </c>
      <c r="E18" s="14" t="str">
        <f>'Complete List_09252026'!G317</f>
        <v>CA</v>
      </c>
      <c r="F18" s="14">
        <f>'Complete List_09252026'!H317</f>
        <v>94124</v>
      </c>
      <c r="G18" s="14" t="str">
        <f>'Complete List_09252026'!J317</f>
        <v xml:space="preserve"> zweisenburger@ycdjobs.org</v>
      </c>
      <c r="H18" s="14" t="str">
        <f>'Complete List_09252026'!K317</f>
        <v>Electronic</v>
      </c>
      <c r="I18" s="14" t="str">
        <f>'Complete List_09252026'!L317</f>
        <v>Bayview, Ocean View, Potrero Hill, Visitacion Valley</v>
      </c>
    </row>
    <row r="19" spans="1:9" ht="66.75" customHeight="1" x14ac:dyDescent="0.25">
      <c r="A19" s="11" t="s">
        <v>265</v>
      </c>
      <c r="B19" s="11" t="s">
        <v>264</v>
      </c>
      <c r="C19" s="11" t="s">
        <v>266</v>
      </c>
      <c r="D19" s="11" t="s">
        <v>16</v>
      </c>
      <c r="E19" s="11" t="s">
        <v>17</v>
      </c>
      <c r="F19" s="14">
        <v>94134</v>
      </c>
      <c r="G19" s="11" t="s">
        <v>268</v>
      </c>
      <c r="H19" s="11" t="s">
        <v>63</v>
      </c>
      <c r="I19" s="11" t="s">
        <v>269</v>
      </c>
    </row>
    <row r="20" spans="1:9" x14ac:dyDescent="0.25">
      <c r="A20" s="11" t="str">
        <f>'Complete List_09252026'!D295</f>
        <v>Top-O-Ham</v>
      </c>
      <c r="B20" s="11" t="str">
        <f>'Complete List_09252026'!C295</f>
        <v>Kelly Torres</v>
      </c>
      <c r="C20" s="11" t="str">
        <f>'Complete List_09252026'!E295</f>
        <v>692 Hamilton Street</v>
      </c>
      <c r="D20" s="11" t="str">
        <f>'Complete List_09252026'!F295</f>
        <v>San Francisco</v>
      </c>
      <c r="E20" s="11" t="str">
        <f>'Complete List_09252026'!G295</f>
        <v>CA</v>
      </c>
      <c r="F20" s="11">
        <f>'Complete List_09252026'!H295</f>
        <v>94134</v>
      </c>
      <c r="G20" s="11" t="str">
        <f>'Complete List_09252026'!J295</f>
        <v>torres.kk@gmail.com</v>
      </c>
      <c r="H20" s="11" t="str">
        <f>'Complete List_09252026'!K295</f>
        <v>Electronic</v>
      </c>
      <c r="I20" s="11" t="str">
        <f>'Complete List_09252026'!L295</f>
        <v>Visitacion Valley</v>
      </c>
    </row>
    <row r="21" spans="1:9" s="40" customFormat="1" ht="26.45" customHeight="1" x14ac:dyDescent="0.2">
      <c r="A21" s="40" t="str">
        <f>'Complete List_09252026'!D117</f>
        <v>Greater Life Church</v>
      </c>
      <c r="B21" s="40" t="str">
        <f>'Complete List_09252026'!C117</f>
        <v>Pastor Sonya Brunswick</v>
      </c>
      <c r="C21" s="40" t="str">
        <f>'Complete List_09252026'!E117</f>
        <v>P.O. Box 347270</v>
      </c>
      <c r="D21" s="40" t="str">
        <f>'Complete List_09252026'!F117</f>
        <v>San Francisco</v>
      </c>
      <c r="E21" s="40" t="str">
        <f>'Complete List_09252026'!G117</f>
        <v>CA</v>
      </c>
      <c r="F21" s="40">
        <f>'Complete List_09252026'!H117</f>
        <v>94134</v>
      </c>
      <c r="G21" s="40" t="str">
        <f>'Complete List_09252026'!J117</f>
        <v>brunswick@sbcglobal.net</v>
      </c>
      <c r="H21" s="40" t="str">
        <f>'Complete List_09252026'!K117</f>
        <v>Electronic</v>
      </c>
      <c r="I21" s="40" t="str">
        <f>'Complete List_09252026'!L117</f>
        <v>Visitacion Valley</v>
      </c>
    </row>
    <row r="22" spans="1:9" ht="27.6" customHeight="1" x14ac:dyDescent="0.25">
      <c r="A22" s="6" t="str">
        <f>'Complete List_09252026'!D277</f>
        <v>Stand in Peace International</v>
      </c>
      <c r="B22" s="6" t="str">
        <f>'Complete List_09252026'!C277</f>
        <v>Shervon Hunter</v>
      </c>
      <c r="C22" s="6" t="str">
        <f>'Complete List_09252026'!E277</f>
        <v>45 Tioga Avenue</v>
      </c>
      <c r="D22" s="6" t="str">
        <f>'Complete List_09252026'!F277</f>
        <v>San Francisco</v>
      </c>
      <c r="E22" s="6" t="str">
        <f>'Complete List_09252026'!G277</f>
        <v>CA</v>
      </c>
      <c r="F22" s="13">
        <f>'Complete List_09252026'!H277</f>
        <v>94134</v>
      </c>
      <c r="G22" s="6" t="str">
        <f>'Complete List_09252026'!J277</f>
        <v>standinpeacecommunityprograms@gmail.com</v>
      </c>
      <c r="H22" s="6" t="str">
        <f>'Complete List_09252026'!K277</f>
        <v>Electronic</v>
      </c>
      <c r="I22" s="6" t="str">
        <f>'Complete List_09252026'!L277</f>
        <v>Bayview, Potrero Hill, Visitacion Valley</v>
      </c>
    </row>
    <row r="23" spans="1:9" s="5" customFormat="1" ht="26.45" customHeight="1" x14ac:dyDescent="0.25">
      <c r="A23" s="5" t="str">
        <f>'Complete List_09252026'!D33</f>
        <v>Better Housing Policies</v>
      </c>
      <c r="B23" s="5" t="str">
        <f>'Complete List_09252026'!C33</f>
        <v>Josephine Zhao</v>
      </c>
      <c r="C23" s="5" t="str">
        <f>'Complete List_09252026'!E33</f>
        <v>945 Taraval Street</v>
      </c>
      <c r="D23" s="5" t="str">
        <f>'Complete List_09252026'!F33</f>
        <v>San Francisco</v>
      </c>
      <c r="E23" s="5" t="str">
        <f>'Complete List_09252026'!G33</f>
        <v>CA</v>
      </c>
      <c r="F23" s="5">
        <f>'Complete List_09252026'!H33</f>
        <v>94116</v>
      </c>
      <c r="G23" s="5" t="str">
        <f>'Complete List_09252026'!J33</f>
        <v>info@betterhousingpolicies.org</v>
      </c>
      <c r="H23" s="5" t="str">
        <f>'Complete List_09252026'!K33</f>
        <v>Electronic</v>
      </c>
      <c r="I23" s="5" t="str">
        <f>'Complete List_09252026'!L33</f>
        <v>Excelsior, Outer Richmond, Outer Sunset, Parkside, Visitacion Valley</v>
      </c>
    </row>
    <row r="24" spans="1:9" s="14" customFormat="1" ht="39.6" customHeight="1" x14ac:dyDescent="0.25">
      <c r="A24" s="14" t="str">
        <f>'Complete List_09252026'!D217</f>
        <v>OneBayview</v>
      </c>
      <c r="B24" s="14" t="str">
        <f>'Complete List_09252026'!C217</f>
        <v>Anietie Ekanem</v>
      </c>
      <c r="C24" s="14" t="str">
        <f>'Complete List_09252026'!E217</f>
        <v>5800 3rd Street #1320</v>
      </c>
      <c r="D24" s="14" t="str">
        <f>'Complete List_09252026'!F217</f>
        <v>San Francisco</v>
      </c>
      <c r="E24" s="14" t="str">
        <f>'Complete List_09252026'!G217</f>
        <v>CA</v>
      </c>
      <c r="F24" s="14">
        <f>'Complete List_09252026'!H217</f>
        <v>94124</v>
      </c>
      <c r="G24" s="14" t="str">
        <f>'Complete List_09252026'!J217</f>
        <v>sfplanningdepartment@onebayview.com
aekanem@onebayview.com</v>
      </c>
      <c r="H24" s="14" t="str">
        <f>'Complete List_09252026'!K217</f>
        <v>Electronic</v>
      </c>
      <c r="I24" s="14" t="str">
        <f>'Complete List_09252026'!L217</f>
        <v>Bayview, Crocker Amazon, Excelsior, Ocean View, Potrero Hill, Visitacion Valley</v>
      </c>
    </row>
    <row r="25" spans="1:9" s="5" customFormat="1" ht="25.5" x14ac:dyDescent="0.25">
      <c r="A25" s="5" t="str">
        <f>'Complete List_09252026'!D146</f>
        <v>Keep Crocker Real</v>
      </c>
      <c r="B25" s="5" t="str">
        <f>'Complete List_09252026'!C146</f>
        <v>KC Real</v>
      </c>
      <c r="C25" s="5">
        <f>'Complete List_09252026'!E146</f>
        <v>0</v>
      </c>
      <c r="D25" s="5" t="str">
        <f>'Complete List_09252026'!F146</f>
        <v>San Francisco</v>
      </c>
      <c r="E25" s="5" t="str">
        <f>'Complete List_09252026'!G146</f>
        <v>CA</v>
      </c>
      <c r="F25" s="5">
        <f>'Complete List_09252026'!H146</f>
        <v>94112</v>
      </c>
      <c r="G25" s="5" t="str">
        <f>'Complete List_09252026'!J146</f>
        <v>hello@keepcrockerreal.com</v>
      </c>
      <c r="H25" s="5" t="str">
        <f>'Complete List_09252026'!K146</f>
        <v>Electronic</v>
      </c>
      <c r="I25" s="5" t="str">
        <f>'Complete List_09252026'!L146</f>
        <v>Bayview, Crocker Amazon, Excelsior, Glen Park, Outer Mission, Visitacion Valley</v>
      </c>
    </row>
  </sheetData>
  <autoFilter ref="A1:I1" xr:uid="{00000000-0009-0000-0000-000024000000}">
    <sortState xmlns:xlrd2="http://schemas.microsoft.com/office/spreadsheetml/2017/richdata2" ref="A2:I16">
      <sortCondition descending="1" ref="H1"/>
    </sortState>
  </autoFilter>
  <mergeCells count="3">
    <mergeCell ref="A10:I10"/>
    <mergeCell ref="A2:I2"/>
    <mergeCell ref="A14:I14"/>
  </mergeCells>
  <pageMargins left="0.7" right="0.7" top="0.75" bottom="0.75" header="0.3" footer="0.3"/>
  <pageSetup scale="52"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J29"/>
  <sheetViews>
    <sheetView zoomScale="75" zoomScaleNormal="75" zoomScalePageLayoutView="75" workbookViewId="0">
      <selection activeCell="A14" sqref="A14:XFD14"/>
    </sheetView>
  </sheetViews>
  <sheetFormatPr defaultColWidth="8.85546875" defaultRowHeight="12.75" x14ac:dyDescent="0.25"/>
  <cols>
    <col min="1" max="1" width="34.140625" style="5" customWidth="1"/>
    <col min="2" max="2" width="20.7109375" style="5" customWidth="1"/>
    <col min="3" max="3" width="32" style="5" customWidth="1"/>
    <col min="4" max="4" width="16" style="5" customWidth="1"/>
    <col min="5" max="5" width="11.140625" style="5" customWidth="1"/>
    <col min="6" max="6" width="8.85546875" style="8" customWidth="1"/>
    <col min="7" max="8" width="28.85546875" style="5" customWidth="1"/>
    <col min="9" max="9" width="41.140625" style="5" customWidth="1"/>
    <col min="10" max="10" width="8.85546875" style="5" customWidth="1"/>
    <col min="11" max="16384" width="8.85546875" style="5"/>
  </cols>
  <sheetData>
    <row r="1" spans="1:10" s="4" customFormat="1" ht="27" customHeight="1" x14ac:dyDescent="0.25">
      <c r="A1" s="4" t="s">
        <v>3</v>
      </c>
      <c r="B1" s="4" t="str">
        <f>'Complete List_09252026'!C1</f>
        <v>NAME</v>
      </c>
      <c r="C1" s="4" t="str">
        <f>'Complete List_09252026'!E1</f>
        <v>ADDRESS</v>
      </c>
      <c r="D1" s="4" t="str">
        <f>'Complete List_09252026'!F1</f>
        <v>CITY</v>
      </c>
      <c r="E1" s="4" t="str">
        <f>'Complete List_09252026'!G1</f>
        <v>STATE</v>
      </c>
      <c r="F1" s="10" t="str">
        <f>'Complete List_09252026'!H1</f>
        <v>ZIP</v>
      </c>
      <c r="G1" s="4" t="str">
        <f>'Complete List_09252026'!J1</f>
        <v>EMAIL</v>
      </c>
      <c r="H1" s="4" t="s">
        <v>10</v>
      </c>
      <c r="I1" s="4" t="str">
        <f>'Complete List_09252026'!L1</f>
        <v>NEIGHBORHOOD OF INTEREST</v>
      </c>
    </row>
    <row r="2" spans="1:10" s="26" customFormat="1" ht="18" customHeight="1" x14ac:dyDescent="0.25">
      <c r="A2" s="71" t="s">
        <v>1835</v>
      </c>
      <c r="B2" s="69"/>
      <c r="C2" s="69"/>
      <c r="D2" s="69"/>
      <c r="E2" s="69"/>
      <c r="F2" s="69"/>
      <c r="G2" s="69"/>
      <c r="H2" s="69"/>
      <c r="I2" s="69"/>
      <c r="J2" s="28"/>
    </row>
    <row r="3" spans="1:10" s="14" customFormat="1" ht="39.6" customHeight="1" x14ac:dyDescent="0.25">
      <c r="A3" s="14" t="str">
        <f>'Complete List_09252026'!D132</f>
        <v>Housing Rights Committee of San Francisco</v>
      </c>
      <c r="B3" s="14" t="str">
        <f>'Complete List_09252026'!C132</f>
        <v>Sarah Sherburn-Zimmer</v>
      </c>
      <c r="C3" s="14" t="str">
        <f>'Complete List_09252026'!E132</f>
        <v>1663 Mission Street, Suite 504</v>
      </c>
      <c r="D3" s="14" t="str">
        <f>'Complete List_09252026'!F132</f>
        <v>San Francisco</v>
      </c>
      <c r="E3" s="14" t="str">
        <f>'Complete List_09252026'!G132</f>
        <v>CA</v>
      </c>
      <c r="F3" s="14">
        <f>'Complete List_09252026'!H132</f>
        <v>94103</v>
      </c>
      <c r="G3" s="14" t="str">
        <f>'Complete List_09252026'!J132</f>
        <v>fred@hrcsf.org</v>
      </c>
      <c r="H3" s="14" t="str">
        <f>'Complete List_09252026'!K132</f>
        <v>Physical</v>
      </c>
      <c r="I3" s="14" t="str">
        <f>'Complete List_09252026'!L132</f>
        <v>Golden Gate Park, Inner Richmond, Inner Sunset, Lakeshore, Outer Richmond, Outer Sunset, Parkside, West of Twin Peaks</v>
      </c>
    </row>
    <row r="4" spans="1:10" s="14" customFormat="1" ht="79.150000000000006" customHeight="1" x14ac:dyDescent="0.25">
      <c r="A4" s="14" t="str">
        <f>'Complete List_09252026'!D261</f>
        <v>Sherwin Williams</v>
      </c>
      <c r="B4" s="14" t="str">
        <f>'Complete List_09252026'!C261</f>
        <v>Francesca Panullo</v>
      </c>
      <c r="C4" s="14" t="str">
        <f>'Complete List_09252026'!E261</f>
        <v>1415 Ocean Ave</v>
      </c>
      <c r="D4" s="14" t="str">
        <f>'Complete List_09252026'!F261</f>
        <v>San Francisco</v>
      </c>
      <c r="E4" s="14" t="str">
        <f>'Complete List_09252026'!G261</f>
        <v>CA</v>
      </c>
      <c r="F4" s="14">
        <f>'Complete List_09252026'!H261</f>
        <v>94112</v>
      </c>
      <c r="G4" s="14" t="str">
        <f>'Complete List_09252026'!J261</f>
        <v>sw8644@sherwin.com</v>
      </c>
      <c r="H4" s="14" t="str">
        <f>'Complete List_09252026'!K261</f>
        <v>Physical</v>
      </c>
      <c r="I4" s="14" t="str">
        <f>'Complete List_09252026'!L261</f>
        <v>Bayview, Bernal Heights, Crocker Amazon, Diamond Heights, Excelsior, Glen Park, Inner Sunset, Lakeshore, Noe Valley, Ocean View, Outer Mission, Outer Sunset, Parkside, Potrero Hill, South Bayshore, Twin Peaks, Visitacion Valley, West of Twin Peaks</v>
      </c>
    </row>
    <row r="5" spans="1:10" s="14" customFormat="1" ht="52.9" customHeight="1" x14ac:dyDescent="0.25">
      <c r="A5" s="14" t="str">
        <f>'Complete List_09252026'!D309</f>
        <v>West of Twin Peaks Central Council</v>
      </c>
      <c r="B5" s="14" t="str">
        <f>'Complete List_09252026'!C309</f>
        <v>Matt Chamberlain</v>
      </c>
      <c r="C5" s="14" t="str">
        <f>'Complete List_09252026'!E309</f>
        <v>P.O. Box 27112</v>
      </c>
      <c r="D5" s="14" t="str">
        <f>'Complete List_09252026'!F309</f>
        <v>San Francisco</v>
      </c>
      <c r="E5" s="14" t="str">
        <f>'Complete List_09252026'!G309</f>
        <v>CA</v>
      </c>
      <c r="F5" s="14" t="str">
        <f>'Complete List_09252026'!H309</f>
        <v>94127</v>
      </c>
      <c r="G5" s="14" t="str">
        <f>'Complete List_09252026'!J309</f>
        <v xml:space="preserve">info@WestOfTwinPeaks.org
President@WestOfTwinPeaks.org 
</v>
      </c>
      <c r="H5" s="14" t="str">
        <f>'Complete List_09252026'!K309</f>
        <v>Physical</v>
      </c>
      <c r="I5" s="14" t="str">
        <f>'Complete List_09252026'!L309</f>
        <v>Diamond Heights, Lakeshore, Parkside, Twin Peaks, West of Twin Peaks</v>
      </c>
    </row>
    <row r="6" spans="1:10" s="14" customFormat="1" x14ac:dyDescent="0.25">
      <c r="A6" s="14" t="str">
        <f>'Complete List_09252026'!D313</f>
        <v>Westwood Highlands Association</v>
      </c>
      <c r="B6" s="14" t="str">
        <f>'Complete List_09252026'!C313</f>
        <v>David Bisho</v>
      </c>
      <c r="C6" s="14" t="str">
        <f>'Complete List_09252026'!E313</f>
        <v>120 Brentwood Avenue</v>
      </c>
      <c r="D6" s="14" t="str">
        <f>'Complete List_09252026'!F313</f>
        <v>San Francisco</v>
      </c>
      <c r="E6" s="14" t="str">
        <f>'Complete List_09252026'!G313</f>
        <v>CA</v>
      </c>
      <c r="F6" s="14" t="str">
        <f>'Complete List_09252026'!H313</f>
        <v>94127</v>
      </c>
      <c r="G6" s="14" t="str">
        <f>'Complete List_09252026'!J313</f>
        <v>bisho@bisho.com</v>
      </c>
      <c r="H6" s="14" t="str">
        <f>'Complete List_09252026'!K313</f>
        <v>Physical</v>
      </c>
      <c r="I6" s="14" t="str">
        <f>'Complete List_09252026'!L313</f>
        <v>West of Twin Peaks</v>
      </c>
    </row>
    <row r="7" spans="1:10" s="14" customFormat="1" ht="26.45" customHeight="1" x14ac:dyDescent="0.25">
      <c r="A7" s="14" t="str">
        <f>'Complete List_09252026'!D149</f>
        <v>Lakeshore Acres Improvement Club</v>
      </c>
      <c r="B7" s="14" t="str">
        <f>'Complete List_09252026'!C149</f>
        <v>Bill Chionsini</v>
      </c>
      <c r="C7" s="14" t="str">
        <f>'Complete List_09252026'!E149</f>
        <v>P.O. Box 320222</v>
      </c>
      <c r="D7" s="14" t="str">
        <f>'Complete List_09252026'!F149</f>
        <v>San Francisco</v>
      </c>
      <c r="E7" s="14" t="str">
        <f>'Complete List_09252026'!G149</f>
        <v>CA</v>
      </c>
      <c r="F7" s="14" t="str">
        <f>'Complete List_09252026'!H149</f>
        <v>94132-0222</v>
      </c>
      <c r="G7" s="14" t="str">
        <f>'Complete List_09252026'!J149</f>
        <v>SIEL94132@gmail.com</v>
      </c>
      <c r="H7" s="14" t="str">
        <f>'Complete List_09252026'!K149</f>
        <v>Physical</v>
      </c>
      <c r="I7" s="14" t="str">
        <f>'Complete List_09252026'!L149</f>
        <v>Lakeshore</v>
      </c>
    </row>
    <row r="8" spans="1:10" s="14" customFormat="1" ht="26.45" customHeight="1" x14ac:dyDescent="0.25">
      <c r="A8" s="14" t="str">
        <f>'Complete List_09252026'!D113</f>
        <v>Golden Gate Heights Neighborhood Association</v>
      </c>
      <c r="B8" s="14" t="str">
        <f>'Complete List_09252026'!C113</f>
        <v>Sally Stephens</v>
      </c>
      <c r="C8" s="14" t="str">
        <f>'Complete List_09252026'!E113</f>
        <v>P.O. Box 27608</v>
      </c>
      <c r="D8" s="14" t="str">
        <f>'Complete List_09252026'!F113</f>
        <v>San Francisco</v>
      </c>
      <c r="E8" s="14" t="str">
        <f>'Complete List_09252026'!G113</f>
        <v>CA</v>
      </c>
      <c r="F8" s="14" t="str">
        <f>'Complete List_09252026'!H113</f>
        <v>94127</v>
      </c>
      <c r="G8" s="14" t="str">
        <f>'Complete List_09252026'!J113</f>
        <v>info@goldengateheights.org</v>
      </c>
      <c r="H8" s="14" t="str">
        <f>'Complete List_09252026'!K113</f>
        <v>Physical</v>
      </c>
      <c r="I8" s="14" t="str">
        <f>'Complete List_09252026'!L113</f>
        <v>Inner Sunset, Parkside, West of Twin Peaks</v>
      </c>
    </row>
    <row r="9" spans="1:10" s="14" customFormat="1" x14ac:dyDescent="0.25">
      <c r="A9" s="14" t="str">
        <f>'Complete List_09252026'!D181</f>
        <v>Miraloma Park Improvement Club</v>
      </c>
      <c r="B9" s="14" t="str">
        <f>'Complete List_09252026'!C181</f>
        <v>Karen  Breslin</v>
      </c>
      <c r="C9" s="14" t="str">
        <f>'Complete List_09252026'!E181</f>
        <v>350 O'Shaughnessy Blvd</v>
      </c>
      <c r="D9" s="14" t="str">
        <f>'Complete List_09252026'!F181</f>
        <v>San Francisco</v>
      </c>
      <c r="E9" s="14" t="str">
        <f>'Complete List_09252026'!G181</f>
        <v>CA</v>
      </c>
      <c r="F9" s="14">
        <f>'Complete List_09252026'!H181</f>
        <v>94127</v>
      </c>
      <c r="G9" s="14" t="str">
        <f>'Complete List_09252026'!J181</f>
        <v>miralomapark@gmail.com</v>
      </c>
      <c r="H9" s="14" t="str">
        <f>'Complete List_09252026'!K181</f>
        <v>Physical</v>
      </c>
      <c r="I9" s="14" t="str">
        <f>'Complete List_09252026'!L181</f>
        <v>West of Twin Peaks</v>
      </c>
    </row>
    <row r="10" spans="1:10" s="14" customFormat="1" ht="26.45" customHeight="1" x14ac:dyDescent="0.25">
      <c r="A10" s="14" t="str">
        <f>'Complete List_09252026'!D190</f>
        <v>Monterey Heights Homeowners Association</v>
      </c>
      <c r="B10" s="14" t="str">
        <f>'Complete List_09252026'!C190</f>
        <v>Kimber Blackburn</v>
      </c>
      <c r="C10" s="14" t="str">
        <f>'Complete List_09252026'!E190</f>
        <v>P.O. Box 27125</v>
      </c>
      <c r="D10" s="14" t="str">
        <f>'Complete List_09252026'!F190</f>
        <v>San Francisco</v>
      </c>
      <c r="E10" s="14" t="str">
        <f>'Complete List_09252026'!G190</f>
        <v>CA</v>
      </c>
      <c r="F10" s="14" t="str">
        <f>'Complete List_09252026'!H190</f>
        <v>94127-0125</v>
      </c>
      <c r="G10" s="14" t="str">
        <f>'Complete List_09252026'!J190</f>
        <v>info@montereyheights.org</v>
      </c>
      <c r="H10" s="14" t="str">
        <f>'Complete List_09252026'!K190</f>
        <v>Physical</v>
      </c>
      <c r="I10" s="14" t="str">
        <f>'Complete List_09252026'!L190</f>
        <v>West of Twin Peaks</v>
      </c>
    </row>
    <row r="11" spans="1:10" s="14" customFormat="1" ht="26.45" customHeight="1" x14ac:dyDescent="0.25">
      <c r="A11" s="14" t="str">
        <f>'Complete List_09252026'!D196</f>
        <v>Neighbors of Ardenwood</v>
      </c>
      <c r="C11" s="14" t="str">
        <f>'Complete List_09252026'!E196</f>
        <v>2690 16th Avenue</v>
      </c>
      <c r="D11" s="14" t="str">
        <f>'Complete List_09252026'!F196</f>
        <v>San Francisco</v>
      </c>
      <c r="E11" s="14" t="str">
        <f>'Complete List_09252026'!G196</f>
        <v>CA</v>
      </c>
      <c r="F11" s="14" t="str">
        <f>'Complete List_09252026'!H196</f>
        <v>94116-3052</v>
      </c>
      <c r="G11" s="14" t="str">
        <f>'Complete List_09252026'!J196</f>
        <v>Information@neighborsofardenwood.org</v>
      </c>
      <c r="H11" s="14" t="str">
        <f>'Complete List_09252026'!K196</f>
        <v>Physical</v>
      </c>
      <c r="I11" s="14" t="str">
        <f>'Complete List_09252026'!L196</f>
        <v>West of Twin Peaks</v>
      </c>
    </row>
    <row r="12" spans="1:10" s="14" customFormat="1" x14ac:dyDescent="0.25">
      <c r="A12" s="14" t="str">
        <f>'Complete List_09252026'!D314</f>
        <v>Westwood Park Association</v>
      </c>
      <c r="B12" s="14" t="str">
        <f>'Complete List_09252026'!C314</f>
        <v>Anita Theoharis</v>
      </c>
      <c r="C12" s="14" t="str">
        <f>'Complete List_09252026'!E314</f>
        <v>236 W. Portal Avenue, No. 770</v>
      </c>
      <c r="D12" s="14" t="str">
        <f>'Complete List_09252026'!F314</f>
        <v>San Francisco</v>
      </c>
      <c r="E12" s="14" t="str">
        <f>'Complete List_09252026'!G314</f>
        <v>CA</v>
      </c>
      <c r="F12" s="14">
        <f>'Complete List_09252026'!H314</f>
        <v>94127</v>
      </c>
      <c r="G12" s="14" t="str">
        <f>'Complete List_09252026'!J314</f>
        <v>board@westwoodpark.com</v>
      </c>
      <c r="H12" s="14" t="str">
        <f>'Complete List_09252026'!K314</f>
        <v>Physical</v>
      </c>
      <c r="I12" s="14" t="str">
        <f>'Complete List_09252026'!L314</f>
        <v>West of Twin Peaks</v>
      </c>
    </row>
    <row r="13" spans="1:10" s="14" customFormat="1" x14ac:dyDescent="0.25">
      <c r="A13" s="14" t="str">
        <f>'Complete List_09252026'!D181</f>
        <v>Miraloma Park Improvement Club</v>
      </c>
      <c r="B13" s="14" t="str">
        <f>'Complete List_09252026'!C181</f>
        <v>Karen  Breslin</v>
      </c>
      <c r="C13" s="14" t="str">
        <f>'Complete List_09252026'!E181</f>
        <v>350 O'Shaughnessy Blvd</v>
      </c>
      <c r="D13" s="14" t="str">
        <f>'Complete List_09252026'!F181</f>
        <v>San Francisco</v>
      </c>
      <c r="E13" s="14" t="str">
        <f>'Complete List_09252026'!G181</f>
        <v>CA</v>
      </c>
      <c r="F13" s="14">
        <f>'Complete List_09252026'!H181</f>
        <v>94127</v>
      </c>
      <c r="G13" s="14" t="str">
        <f>'Complete List_09252026'!J181</f>
        <v>miralomapark@gmail.com</v>
      </c>
      <c r="H13" s="14" t="str">
        <f>'Complete List_09252026'!K181</f>
        <v>Physical</v>
      </c>
      <c r="I13" s="14" t="str">
        <f>'Complete List_09252026'!L181</f>
        <v>West of Twin Peaks</v>
      </c>
    </row>
    <row r="14" spans="1:10" s="14" customFormat="1" ht="17.45" customHeight="1" x14ac:dyDescent="0.25">
      <c r="A14" s="68" t="s">
        <v>1836</v>
      </c>
      <c r="B14" s="72"/>
      <c r="C14" s="72"/>
      <c r="D14" s="72"/>
      <c r="E14" s="72"/>
      <c r="F14" s="72"/>
      <c r="G14" s="72"/>
      <c r="H14" s="72"/>
      <c r="I14" s="72"/>
    </row>
    <row r="15" spans="1:10" s="14" customFormat="1" ht="79.150000000000006" customHeight="1" x14ac:dyDescent="0.25">
      <c r="A15" s="14" t="str">
        <f>'Complete List_09252026'!D40</f>
        <v>Board of Supervisors</v>
      </c>
      <c r="B15" s="14" t="str">
        <f>'Complete List_09252026'!C40</f>
        <v>Myrna Melgar</v>
      </c>
      <c r="C15" s="14" t="str">
        <f>'Complete List_09252026'!E40</f>
        <v>1 Dr. Carlton B Goodlett Place, Room #244</v>
      </c>
      <c r="D15" s="14" t="str">
        <f>'Complete List_09252026'!F40</f>
        <v>San Francisco</v>
      </c>
      <c r="E15" s="14" t="str">
        <f>'Complete List_09252026'!G40</f>
        <v>CA</v>
      </c>
      <c r="F15" s="14" t="str">
        <f>'Complete List_09252026'!H40</f>
        <v>94102-4689</v>
      </c>
      <c r="G15" s="14" t="str">
        <f>'Complete List_09252026'!J40</f>
        <v>myrna.melgar@sfgov.org;
Jennifer.Fieber@sfgov.org;
Megan.Imperial@sfgov.org;
Lila.Carrillo@sfgov.org;
Jen.Low@sfgov.org;
melgarstaff@sfgov.org</v>
      </c>
      <c r="H15" s="14" t="str">
        <f>'Complete List_09252026'!K40</f>
        <v>Both</v>
      </c>
      <c r="I15" s="14" t="str">
        <f>'Complete List_09252026'!L40</f>
        <v>Inner Sunset, Lakeshore, Ocean View, Parkside, Twin Peaks, West of Twin Peaks</v>
      </c>
    </row>
    <row r="16" spans="1:10" s="26" customFormat="1" ht="18" customHeight="1" x14ac:dyDescent="0.25">
      <c r="A16" s="70" t="s">
        <v>1842</v>
      </c>
      <c r="B16" s="69"/>
      <c r="C16" s="69"/>
      <c r="D16" s="69"/>
      <c r="E16" s="69"/>
      <c r="F16" s="69"/>
      <c r="G16" s="69"/>
      <c r="H16" s="69"/>
      <c r="I16" s="69"/>
      <c r="J16" s="29"/>
    </row>
    <row r="17" spans="1:9" s="14" customFormat="1" x14ac:dyDescent="0.25">
      <c r="A17" s="14" t="str">
        <f>'Complete List_09252026'!D104</f>
        <v>Forest Hill Association</v>
      </c>
      <c r="C17" s="14" t="str">
        <f>'Complete List_09252026'!E104</f>
        <v>381 Magellan Avenue</v>
      </c>
      <c r="D17" s="14" t="str">
        <f>'Complete List_09252026'!F104</f>
        <v>San Francisco</v>
      </c>
      <c r="E17" s="14" t="str">
        <f>'Complete List_09252026'!G104</f>
        <v>CA</v>
      </c>
      <c r="F17" s="14" t="str">
        <f>'Complete List_09252026'!H104</f>
        <v>94116</v>
      </c>
      <c r="G17" s="14" t="str">
        <f>'Complete List_09252026'!J104</f>
        <v>office@foresthill-association.com</v>
      </c>
      <c r="H17" s="14" t="str">
        <f>'Complete List_09252026'!K104</f>
        <v>Electronic</v>
      </c>
      <c r="I17" s="14" t="str">
        <f>'Complete List_09252026'!L104</f>
        <v>West of Twin Peaks</v>
      </c>
    </row>
    <row r="18" spans="1:9" s="14" customFormat="1" ht="26.45" customHeight="1" x14ac:dyDescent="0.25">
      <c r="A18" s="14" t="str">
        <f>'Complete List_09252026'!D134</f>
        <v>Ingleside Terraces Homes Association</v>
      </c>
      <c r="B18" s="14" t="str">
        <f>'Complete List_09252026'!C134</f>
        <v>Paul Conroy</v>
      </c>
      <c r="C18" s="14" t="str">
        <f>'Complete List_09252026'!E134</f>
        <v>P.O. Box 27304</v>
      </c>
      <c r="D18" s="14" t="str">
        <f>'Complete List_09252026'!F134</f>
        <v>San Francisco</v>
      </c>
      <c r="E18" s="14" t="str">
        <f>'Complete List_09252026'!G134</f>
        <v>CA</v>
      </c>
      <c r="F18" s="14" t="str">
        <f>'Complete List_09252026'!H134</f>
        <v>94127-0304</v>
      </c>
      <c r="G18" s="14" t="str">
        <f>'Complete List_09252026'!J134</f>
        <v>President@ithasf.org</v>
      </c>
      <c r="H18" s="14" t="str">
        <f>'Complete List_09252026'!K134</f>
        <v>Electronic</v>
      </c>
      <c r="I18" s="14" t="str">
        <f>'Complete List_09252026'!L134</f>
        <v>Lakeshore, Ocean View, West of Twin Peaks</v>
      </c>
    </row>
    <row r="19" spans="1:9" s="14" customFormat="1" ht="26.45" customHeight="1" x14ac:dyDescent="0.25">
      <c r="A19" s="14" t="str">
        <f>'Complete List_09252026'!D311</f>
        <v>Westside = best side!</v>
      </c>
      <c r="B19" s="14" t="str">
        <f>'Complete List_09252026'!C311</f>
        <v>Maelig Morvan</v>
      </c>
      <c r="C19" s="14" t="str">
        <f>'Complete List_09252026'!E311</f>
        <v>1444 48th Avenue</v>
      </c>
      <c r="D19" s="14" t="str">
        <f>'Complete List_09252026'!F311</f>
        <v>San Francisco</v>
      </c>
      <c r="E19" s="14" t="str">
        <f>'Complete List_09252026'!G311</f>
        <v>CA</v>
      </c>
      <c r="F19" s="14">
        <f>'Complete List_09252026'!H311</f>
        <v>94122</v>
      </c>
      <c r="G19" s="14" t="str">
        <f>'Complete List_09252026'!J311</f>
        <v>westsidebestsidesf@gmail.com</v>
      </c>
      <c r="H19" s="14" t="str">
        <f>'Complete List_09252026'!K311</f>
        <v>Electronic</v>
      </c>
      <c r="I19" s="14" t="str">
        <f>'Complete List_09252026'!L311</f>
        <v>Inner Sunset, Lakeshore, Outer Sunset, Parkside, West of Twin Peaks</v>
      </c>
    </row>
    <row r="20" spans="1:9" s="14" customFormat="1" x14ac:dyDescent="0.25">
      <c r="A20" s="14" t="str">
        <f>'Complete List_09252026'!D21</f>
        <v>Balboa Terrace Homes Association</v>
      </c>
      <c r="B20" s="14" t="str">
        <f>'Complete List_09252026'!C21</f>
        <v>Board of Directors</v>
      </c>
      <c r="C20" s="14" t="str">
        <f>'Complete List_09252026'!E21</f>
        <v>P.O. Box 27642</v>
      </c>
      <c r="D20" s="14" t="str">
        <f>'Complete List_09252026'!F21</f>
        <v>San Francisco</v>
      </c>
      <c r="E20" s="14" t="str">
        <f>'Complete List_09252026'!G21</f>
        <v>CA</v>
      </c>
      <c r="F20" s="14" t="str">
        <f>'Complete List_09252026'!H21</f>
        <v>94127</v>
      </c>
      <c r="G20" s="14" t="str">
        <f>'Complete List_09252026'!J21</f>
        <v>bthaboard@balboaterrace.org</v>
      </c>
      <c r="H20" s="14" t="str">
        <f>'Complete List_09252026'!K21</f>
        <v>Electronic</v>
      </c>
      <c r="I20" s="14" t="str">
        <f>'Complete List_09252026'!L21</f>
        <v>West of Twin Peaks</v>
      </c>
    </row>
    <row r="21" spans="1:9" s="14" customFormat="1" x14ac:dyDescent="0.25">
      <c r="A21" s="14" t="str">
        <f>'Complete List_09252026'!D90</f>
        <v>Edgehill Way Association</v>
      </c>
      <c r="B21" s="14" t="str">
        <f>'Complete List_09252026'!C90</f>
        <v>Alice Aronow</v>
      </c>
      <c r="C21" s="14" t="str">
        <f>'Complete List_09252026'!E90</f>
        <v>100 Edgehill Way</v>
      </c>
      <c r="D21" s="14" t="str">
        <f>'Complete List_09252026'!F90</f>
        <v>San Francisco</v>
      </c>
      <c r="E21" s="14" t="str">
        <f>'Complete List_09252026'!G90</f>
        <v>CA</v>
      </c>
      <c r="F21" s="14">
        <f>'Complete List_09252026'!H90</f>
        <v>94127</v>
      </c>
      <c r="G21" s="14" t="str">
        <f>'Complete List_09252026'!J90</f>
        <v>alicearonow@gmail.com</v>
      </c>
      <c r="H21" s="14" t="str">
        <f>'Complete List_09252026'!K90</f>
        <v>Electronic</v>
      </c>
      <c r="I21" s="14" t="str">
        <f>'Complete List_09252026'!L90</f>
        <v>West of Twin Peaks</v>
      </c>
    </row>
    <row r="22" spans="1:9" s="14" customFormat="1" ht="25.5" x14ac:dyDescent="0.25">
      <c r="A22" s="14" t="str">
        <f>'Complete List_09252026'!D191</f>
        <v>Mt. Davidson Homeowners Association</v>
      </c>
      <c r="B22" s="14" t="str">
        <f>'Complete List_09252026'!C191</f>
        <v>Russell Davis</v>
      </c>
      <c r="C22" s="14" t="str">
        <f>'Complete List_09252026'!E191</f>
        <v>29 Lakewood Ave</v>
      </c>
      <c r="D22" s="14" t="str">
        <f>'Complete List_09252026'!F191</f>
        <v>San Francisco</v>
      </c>
      <c r="E22" s="14" t="str">
        <f>'Complete List_09252026'!G191</f>
        <v>CA</v>
      </c>
      <c r="F22" s="14">
        <f>'Complete List_09252026'!H191</f>
        <v>94127</v>
      </c>
      <c r="G22" s="14" t="str">
        <f>'Complete List_09252026'!J191</f>
        <v>loanhound@sbcglobal.net</v>
      </c>
      <c r="H22" s="14" t="str">
        <f>'Complete List_09252026'!K191</f>
        <v>Electronic</v>
      </c>
      <c r="I22" s="14" t="str">
        <f>'Complete List_09252026'!L191</f>
        <v>West of Twin Peaks</v>
      </c>
    </row>
    <row r="23" spans="1:9" s="14" customFormat="1" ht="25.5" x14ac:dyDescent="0.25">
      <c r="A23" s="14" t="str">
        <f>'Complete List_09252026'!D213</f>
        <v>Ocean Avenue Association</v>
      </c>
      <c r="B23" s="14" t="str">
        <f>'Complete List_09252026'!C213</f>
        <v>Christian Martin</v>
      </c>
      <c r="C23" s="14" t="str">
        <f>'Complete List_09252026'!E213</f>
        <v>1720 Ocean Avenue</v>
      </c>
      <c r="D23" s="14" t="str">
        <f>'Complete List_09252026'!F213</f>
        <v>San Francisco</v>
      </c>
      <c r="E23" s="14" t="str">
        <f>'Complete List_09252026'!G213</f>
        <v>CA</v>
      </c>
      <c r="F23" s="14">
        <f>'Complete List_09252026'!H213</f>
        <v>94112</v>
      </c>
      <c r="G23" s="14" t="str">
        <f>'Complete List_09252026'!J213</f>
        <v>christianm@oaacbd.org</v>
      </c>
      <c r="H23" s="14" t="str">
        <f>'Complete List_09252026'!K213</f>
        <v>Electronic</v>
      </c>
      <c r="I23" s="14" t="str">
        <f>'Complete List_09252026'!L213</f>
        <v>Ocean View, Outer Mission, West of Twin Peaks</v>
      </c>
    </row>
    <row r="24" spans="1:9" s="14" customFormat="1" ht="26.45" customHeight="1" x14ac:dyDescent="0.25">
      <c r="A24" s="14" t="str">
        <f>'Complete List_09252026'!D252</f>
        <v>SF Forest Alliance, a California Public Benefit Corporation</v>
      </c>
      <c r="B24" s="14" t="str">
        <f>'Complete List_09252026'!C252</f>
        <v>Matthew Steen</v>
      </c>
      <c r="C24" s="14" t="str">
        <f>'Complete List_09252026'!E252</f>
        <v>P.O. Box 460668</v>
      </c>
      <c r="D24" s="14" t="str">
        <f>'Complete List_09252026'!F252</f>
        <v>San Francisco</v>
      </c>
      <c r="E24" s="14" t="str">
        <f>'Complete List_09252026'!G252</f>
        <v>CA</v>
      </c>
      <c r="F24" s="14">
        <f>'Complete List_09252026'!H252</f>
        <v>94146</v>
      </c>
      <c r="G24" s="14" t="str">
        <f>'Complete List_09252026'!J252</f>
        <v>sfforestnews@gmail.com</v>
      </c>
      <c r="H24" s="14" t="str">
        <f>'Complete List_09252026'!K252</f>
        <v>Electronic</v>
      </c>
      <c r="I24" s="14" t="str">
        <f>'Complete List_09252026'!L252</f>
        <v>West of Twin Peaks</v>
      </c>
    </row>
    <row r="25" spans="1:9" s="14" customFormat="1" ht="26.45" customHeight="1" x14ac:dyDescent="0.25">
      <c r="A25" s="14" t="str">
        <f>'Complete List_09252026'!D262</f>
        <v>Sherwood Forest Homeowners Association</v>
      </c>
      <c r="B25" s="14" t="str">
        <f>'Complete List_09252026'!C262</f>
        <v>Tom Hoshiyama / Hiliarie Connolly</v>
      </c>
      <c r="C25" s="14" t="str">
        <f>'Complete List_09252026'!E262</f>
        <v>111 Robinhood Drive</v>
      </c>
      <c r="D25" s="14" t="str">
        <f>'Complete List_09252026'!F262</f>
        <v>San Francisco</v>
      </c>
      <c r="E25" s="14" t="str">
        <f>'Complete List_09252026'!G262</f>
        <v>CA</v>
      </c>
      <c r="F25" s="14">
        <f>'Complete List_09252026'!H262</f>
        <v>94127</v>
      </c>
      <c r="G25" s="14" t="str">
        <f>'Complete List_09252026'!J262</f>
        <v>ConnollyHilarie@gmail.com</v>
      </c>
      <c r="H25" s="14" t="str">
        <f>'Complete List_09252026'!K262</f>
        <v>Electronic</v>
      </c>
      <c r="I25" s="14" t="str">
        <f>'Complete List_09252026'!L262</f>
        <v>Diamond Heights, Twin Peaks, West of Twin Peaks</v>
      </c>
    </row>
    <row r="26" spans="1:9" s="14" customFormat="1" x14ac:dyDescent="0.25">
      <c r="A26" s="14" t="str">
        <f>'Complete List_09252026'!D274</f>
        <v>St. Francis Homes Association</v>
      </c>
      <c r="B26" s="14" t="str">
        <f>'Complete List_09252026'!C274</f>
        <v>Tract Office Manager</v>
      </c>
      <c r="C26" s="14" t="str">
        <f>'Complete List_09252026'!E274</f>
        <v>101 Santa Clara Ave.</v>
      </c>
      <c r="D26" s="14" t="str">
        <f>'Complete List_09252026'!F274</f>
        <v>San Francisco</v>
      </c>
      <c r="E26" s="14" t="str">
        <f>'Complete List_09252026'!G274</f>
        <v>CA</v>
      </c>
      <c r="F26" s="14" t="str">
        <f>'Complete List_09252026'!H274</f>
        <v>94127</v>
      </c>
      <c r="G26" s="14" t="str">
        <f>'Complete List_09252026'!J274</f>
        <v>info@stfranciswood.org</v>
      </c>
      <c r="H26" s="14" t="str">
        <f>'Complete List_09252026'!K274</f>
        <v>Electronic</v>
      </c>
      <c r="I26" s="14" t="str">
        <f>'Complete List_09252026'!L274</f>
        <v>West of Twin Peaks</v>
      </c>
    </row>
    <row r="27" spans="1:9" ht="66" customHeight="1" x14ac:dyDescent="0.25">
      <c r="A27" s="11" t="s">
        <v>265</v>
      </c>
      <c r="B27" s="11" t="s">
        <v>264</v>
      </c>
      <c r="C27" s="11" t="s">
        <v>266</v>
      </c>
      <c r="D27" s="11" t="s">
        <v>16</v>
      </c>
      <c r="E27" s="11" t="s">
        <v>17</v>
      </c>
      <c r="F27" s="14">
        <v>94134</v>
      </c>
      <c r="G27" s="11" t="s">
        <v>268</v>
      </c>
      <c r="H27" s="11" t="s">
        <v>63</v>
      </c>
      <c r="I27" s="11" t="s">
        <v>269</v>
      </c>
    </row>
    <row r="28" spans="1:9" ht="26.45" customHeight="1" x14ac:dyDescent="0.25">
      <c r="A28" s="5" t="str">
        <f>'Complete List_09252026'!D118</f>
        <v>Greater West Portal Neighborhood Association</v>
      </c>
      <c r="B28" s="5" t="str">
        <f>'Complete List_09252026'!C118</f>
        <v>Karen Tarantola</v>
      </c>
      <c r="C28" s="5" t="str">
        <f>'Complete List_09252026'!E118</f>
        <v>P.O. Box 27116</v>
      </c>
      <c r="D28" s="5" t="str">
        <f>'Complete List_09252026'!F118</f>
        <v>San Francisco</v>
      </c>
      <c r="E28" s="5" t="str">
        <f>'Complete List_09252026'!G118</f>
        <v>CA</v>
      </c>
      <c r="F28" s="5">
        <f>'Complete List_09252026'!H118</f>
        <v>94132</v>
      </c>
      <c r="G28" s="5" t="str">
        <f>'Complete List_09252026'!J118</f>
        <v>president@gwpna.org</v>
      </c>
      <c r="H28" s="5" t="str">
        <f>'Complete List_09252026'!K118</f>
        <v>Electronic</v>
      </c>
      <c r="I28" s="5" t="str">
        <f>'Complete List_09252026'!L118</f>
        <v>West of Twin Peaks</v>
      </c>
    </row>
    <row r="29" spans="1:9" s="14" customFormat="1" ht="26.45" customHeight="1" x14ac:dyDescent="0.25">
      <c r="A29" s="14" t="str">
        <f>'Complete List_09252026'!D73</f>
        <v>Corbett Heights Neighbors</v>
      </c>
      <c r="B29" s="14" t="str">
        <f>'Complete List_09252026'!C73</f>
        <v xml:space="preserve">Maryann Dresner </v>
      </c>
      <c r="C29" s="14" t="str">
        <f>'Complete List_09252026'!E73</f>
        <v>P.O. Box 14493</v>
      </c>
      <c r="D29" s="14" t="str">
        <f>'Complete List_09252026'!F73</f>
        <v>San Francisco</v>
      </c>
      <c r="E29" s="14" t="str">
        <f>'Complete List_09252026'!G73</f>
        <v>CA</v>
      </c>
      <c r="F29" s="14" t="str">
        <f>'Complete List_09252026'!H73</f>
        <v>94114</v>
      </c>
      <c r="G29" s="14" t="str">
        <f>'Complete List_09252026'!J73</f>
        <v>info@corbettneighbors.com</v>
      </c>
      <c r="H29" s="14" t="str">
        <f>'Complete List_09252026'!K73</f>
        <v>Electronic</v>
      </c>
      <c r="I29" s="14" t="str">
        <f>'Complete List_09252026'!L73</f>
        <v>Castro/Upper Market, Noe Valley, West of Twin Peaks</v>
      </c>
    </row>
  </sheetData>
  <autoFilter ref="A1:J1" xr:uid="{00000000-0009-0000-0000-000025000000}">
    <sortState xmlns:xlrd2="http://schemas.microsoft.com/office/spreadsheetml/2017/richdata2" ref="A2:J24">
      <sortCondition descending="1" ref="H1"/>
    </sortState>
  </autoFilter>
  <mergeCells count="3">
    <mergeCell ref="A2:I2"/>
    <mergeCell ref="A14:I14"/>
    <mergeCell ref="A16:I16"/>
  </mergeCells>
  <pageMargins left="0.7" right="0.7" top="0.75" bottom="0.75" header="0.3" footer="0.3"/>
  <pageSetup scale="52"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J36"/>
  <sheetViews>
    <sheetView zoomScale="75" zoomScaleNormal="75" zoomScalePageLayoutView="75" workbookViewId="0">
      <selection activeCell="A10" sqref="A10:XFD10"/>
    </sheetView>
  </sheetViews>
  <sheetFormatPr defaultColWidth="8.85546875" defaultRowHeight="12.75" x14ac:dyDescent="0.25"/>
  <cols>
    <col min="1" max="1" width="34.140625" style="11" customWidth="1"/>
    <col min="2" max="2" width="20.7109375" style="11" customWidth="1"/>
    <col min="3" max="3" width="32" style="11" customWidth="1"/>
    <col min="4" max="4" width="16" style="11" customWidth="1"/>
    <col min="5" max="5" width="8.85546875" style="11" customWidth="1"/>
    <col min="6" max="6" width="8.85546875" style="14" customWidth="1"/>
    <col min="7" max="8" width="28.85546875" style="11" customWidth="1"/>
    <col min="9" max="9" width="41.140625" style="11" customWidth="1"/>
    <col min="10" max="10" width="8.85546875" style="11" customWidth="1"/>
    <col min="11" max="16384" width="8.85546875" style="11"/>
  </cols>
  <sheetData>
    <row r="1" spans="1:10" s="4" customFormat="1" ht="18" customHeight="1" x14ac:dyDescent="0.25">
      <c r="A1" s="4" t="s">
        <v>3</v>
      </c>
      <c r="B1" s="4" t="str">
        <f>'Complete List_09252026'!C1</f>
        <v>NAME</v>
      </c>
      <c r="C1" s="4" t="str">
        <f>'Complete List_09252026'!E1</f>
        <v>ADDRESS</v>
      </c>
      <c r="D1" s="4" t="str">
        <f>'Complete List_09252026'!F1</f>
        <v>CITY</v>
      </c>
      <c r="E1" s="4" t="str">
        <f>'Complete List_09252026'!G1</f>
        <v>STATE</v>
      </c>
      <c r="F1" s="10" t="str">
        <f>'Complete List_09252026'!H1</f>
        <v>ZIP</v>
      </c>
      <c r="G1" s="4" t="str">
        <f>'Complete List_09252026'!J1</f>
        <v>EMAIL</v>
      </c>
      <c r="H1" s="4" t="s">
        <v>10</v>
      </c>
      <c r="I1" s="4" t="str">
        <f>'Complete List_09252026'!L1</f>
        <v>NEIGHBORHOOD OF INTEREST</v>
      </c>
    </row>
    <row r="2" spans="1:10" s="26" customFormat="1" ht="18" customHeight="1" x14ac:dyDescent="0.25">
      <c r="A2" s="71" t="s">
        <v>1835</v>
      </c>
      <c r="B2" s="69"/>
      <c r="C2" s="69"/>
      <c r="D2" s="69"/>
      <c r="E2" s="69"/>
      <c r="F2" s="69"/>
      <c r="G2" s="69"/>
      <c r="H2" s="69"/>
      <c r="I2" s="69"/>
      <c r="J2" s="28"/>
    </row>
    <row r="3" spans="1:10" s="14" customFormat="1" x14ac:dyDescent="0.25">
      <c r="A3" s="14" t="str">
        <f>'Complete List_09252026'!D17</f>
        <v>Anza Vista Civic Improvement Club</v>
      </c>
      <c r="B3" s="14" t="str">
        <f>'Complete List_09252026'!C17</f>
        <v>Al Sodini</v>
      </c>
      <c r="C3" s="14" t="str">
        <f>'Complete List_09252026'!E17</f>
        <v>140 Terra Vista Avenue</v>
      </c>
      <c r="D3" s="14" t="str">
        <f>'Complete List_09252026'!F17</f>
        <v>San Francisco</v>
      </c>
      <c r="E3" s="14" t="str">
        <f>'Complete List_09252026'!G17</f>
        <v>CA</v>
      </c>
      <c r="F3" s="14">
        <f>'Complete List_09252026'!H17</f>
        <v>94115</v>
      </c>
      <c r="G3" s="14" t="str">
        <f>'Complete List_09252026'!J17</f>
        <v>ducha931@aol.com</v>
      </c>
      <c r="H3" s="14" t="str">
        <f>'Complete List_09252026'!K17</f>
        <v>Physical</v>
      </c>
      <c r="I3" s="14" t="str">
        <f>'Complete List_09252026'!L17</f>
        <v>Western Addition</v>
      </c>
    </row>
    <row r="4" spans="1:10" s="14" customFormat="1" ht="26.45" customHeight="1" x14ac:dyDescent="0.25">
      <c r="A4" s="14" t="str">
        <f>'Complete List_09252026'!D166</f>
        <v>Marina/Cow Hollow Neighbors &amp; Merchants</v>
      </c>
      <c r="B4" s="14" t="str">
        <f>'Complete List_09252026'!C166</f>
        <v>Patricia Vaughey</v>
      </c>
      <c r="C4" s="14" t="str">
        <f>'Complete List_09252026'!E166</f>
        <v xml:space="preserve">2269 Chestnut Street #990 </v>
      </c>
      <c r="D4" s="14" t="str">
        <f>'Complete List_09252026'!F166</f>
        <v>San Francisco</v>
      </c>
      <c r="E4" s="14" t="str">
        <f>'Complete List_09252026'!G166</f>
        <v>CA</v>
      </c>
      <c r="F4" s="14" t="str">
        <f>'Complete List_09252026'!H166</f>
        <v>94123</v>
      </c>
      <c r="G4" s="14">
        <f>'Complete List_09252026'!J166</f>
        <v>0</v>
      </c>
      <c r="H4" s="14" t="str">
        <f>'Complete List_09252026'!K166</f>
        <v>Physical</v>
      </c>
      <c r="I4" s="14" t="str">
        <f>'Complete List_09252026'!L166</f>
        <v>Marina, Pacific Heights, Western Addition</v>
      </c>
    </row>
    <row r="5" spans="1:10" s="14" customFormat="1" ht="39.6" customHeight="1" x14ac:dyDescent="0.25">
      <c r="A5" s="14" t="str">
        <f>'Complete List_09252026'!D212</f>
        <v>Oak Grove Group</v>
      </c>
      <c r="B5" s="14" t="str">
        <f>'Complete List_09252026'!C212</f>
        <v>Billy Lee</v>
      </c>
      <c r="C5" s="14" t="str">
        <f>'Complete List_09252026'!E212</f>
        <v>2505 Oak Street</v>
      </c>
      <c r="D5" s="14" t="str">
        <f>'Complete List_09252026'!F212</f>
        <v>Napa</v>
      </c>
      <c r="E5" s="14" t="str">
        <f>'Complete List_09252026'!G212</f>
        <v>CA</v>
      </c>
      <c r="F5" s="14">
        <f>'Complete List_09252026'!H212</f>
        <v>94559</v>
      </c>
      <c r="G5" s="14" t="str">
        <f>'Complete List_09252026'!J212</f>
        <v>leeway_e@yahoo.com</v>
      </c>
      <c r="H5" s="14" t="str">
        <f>'Complete List_09252026'!K212</f>
        <v>Physical</v>
      </c>
      <c r="I5" s="14" t="str">
        <f>'Complete List_09252026'!L212</f>
        <v>Pacific Heights, Russian Hill, Marina, Nob Hill, Presidio, Presidio Heights, Sea Cliff, Noe Valley, Western Addition</v>
      </c>
    </row>
    <row r="6" spans="1:10" s="14" customFormat="1" x14ac:dyDescent="0.25">
      <c r="A6" s="14" t="str">
        <f>'Complete List_09252026'!D3</f>
        <v>-</v>
      </c>
      <c r="B6" s="14" t="str">
        <f>'Complete List_09252026'!C3</f>
        <v>Barry Perkins</v>
      </c>
      <c r="C6" s="14" t="str">
        <f>'Complete List_09252026'!E3</f>
        <v>2140 Pine Street</v>
      </c>
      <c r="D6" s="14" t="str">
        <f>'Complete List_09252026'!F3</f>
        <v>San Francisco</v>
      </c>
      <c r="E6" s="14" t="str">
        <f>'Complete List_09252026'!G3</f>
        <v>CA</v>
      </c>
      <c r="F6" s="14">
        <f>'Complete List_09252026'!H3</f>
        <v>94115</v>
      </c>
      <c r="G6" s="14" t="str">
        <f>'Complete List_09252026'!J3</f>
        <v>barry_perkins@yahoo.com</v>
      </c>
      <c r="H6" s="14" t="str">
        <f>'Complete List_09252026'!K3</f>
        <v>Physical</v>
      </c>
      <c r="I6" s="14" t="str">
        <f>'Complete List_09252026'!L3</f>
        <v>Western Addition</v>
      </c>
    </row>
    <row r="7" spans="1:10" s="14" customFormat="1" x14ac:dyDescent="0.25">
      <c r="A7" s="14" t="str">
        <f>'Complete List_09252026'!D5</f>
        <v>-</v>
      </c>
      <c r="B7" s="14" t="str">
        <f>'Complete List_09252026'!C5</f>
        <v>James Fisher</v>
      </c>
      <c r="C7" s="14" t="str">
        <f>'Complete List_09252026'!E5</f>
        <v>10495 N De Anza Blvd MS 74-2RC</v>
      </c>
      <c r="D7" s="14" t="str">
        <f>'Complete List_09252026'!F5</f>
        <v>Cupertino</v>
      </c>
      <c r="E7" s="14" t="str">
        <f>'Complete List_09252026'!G5</f>
        <v>CA</v>
      </c>
      <c r="F7" s="14">
        <f>'Complete List_09252026'!H5</f>
        <v>95014</v>
      </c>
      <c r="G7" s="14" t="str">
        <f>'Complete List_09252026'!J5</f>
        <v>j.benjamin.fisher@gmail.com</v>
      </c>
      <c r="H7" s="14" t="str">
        <f>'Complete List_09252026'!K5</f>
        <v>Physical</v>
      </c>
      <c r="I7" s="14" t="str">
        <f>'Complete List_09252026'!L5</f>
        <v>Western Addition</v>
      </c>
    </row>
    <row r="8" spans="1:10" s="14" customFormat="1" x14ac:dyDescent="0.25">
      <c r="A8" s="14" t="str">
        <f>'Complete List_09252026'!D102</f>
        <v>Fillmore Neighborhood Council</v>
      </c>
      <c r="B8" s="14" t="str">
        <f>'Complete List_09252026'!C102</f>
        <v>Daniel B. Landry</v>
      </c>
      <c r="C8" s="14" t="str">
        <f>'Complete List_09252026'!E102</f>
        <v>1675 Eddy Street #313</v>
      </c>
      <c r="D8" s="14" t="str">
        <f>'Complete List_09252026'!F102</f>
        <v>San Francisco</v>
      </c>
      <c r="E8" s="14" t="str">
        <f>'Complete List_09252026'!G102</f>
        <v>CA</v>
      </c>
      <c r="F8" s="14">
        <f>'Complete List_09252026'!H102</f>
        <v>94115</v>
      </c>
      <c r="G8" s="14" t="str">
        <f>'Complete List_09252026'!J102</f>
        <v>danielb.landry@yahoo.com</v>
      </c>
      <c r="H8" s="14" t="str">
        <f>'Complete List_09252026'!K102</f>
        <v>Physical</v>
      </c>
      <c r="I8" s="14" t="str">
        <f>'Complete List_09252026'!L102</f>
        <v>Western Addition</v>
      </c>
    </row>
    <row r="9" spans="1:10" s="14" customFormat="1" ht="39.6" customHeight="1" x14ac:dyDescent="0.25">
      <c r="A9" s="14" t="str">
        <f>'Complete List_09252026'!D14</f>
        <v>Alliance for a Better District 6</v>
      </c>
      <c r="B9" s="14" t="str">
        <f>'Complete List_09252026'!C14</f>
        <v>Michael Nulty</v>
      </c>
      <c r="C9" s="14" t="str">
        <f>'Complete List_09252026'!E14</f>
        <v>P.O. Box 420782</v>
      </c>
      <c r="D9" s="14" t="str">
        <f>'Complete List_09252026'!F14</f>
        <v>San Francisco</v>
      </c>
      <c r="E9" s="14" t="str">
        <f>'Complete List_09252026'!G14</f>
        <v>CA</v>
      </c>
      <c r="F9" s="14">
        <f>'Complete List_09252026'!H14</f>
        <v>94142</v>
      </c>
      <c r="G9" s="14" t="str">
        <f>'Complete List_09252026'!J14</f>
        <v>sf_district6@yahoo.com</v>
      </c>
      <c r="H9" s="14" t="str">
        <f>'Complete List_09252026'!K14</f>
        <v>Physical</v>
      </c>
      <c r="I9" s="14" t="str">
        <f>'Complete List_09252026'!L14</f>
        <v>Downtown/Civic Center, Financial District, Mission, Nob Hill, South of Market, Treasure Island, Western Addition</v>
      </c>
    </row>
    <row r="10" spans="1:10" s="14" customFormat="1" ht="26.45" customHeight="1" x14ac:dyDescent="0.25">
      <c r="A10" s="14" t="str">
        <f>'Complete List_09252026'!D289</f>
        <v>Temescal Terrace Association</v>
      </c>
      <c r="B10" s="14" t="str">
        <f>'Complete List_09252026'!C289</f>
        <v>Richard Rabbitt</v>
      </c>
      <c r="C10" s="14" t="str">
        <f>'Complete List_09252026'!E289</f>
        <v>55 Temescal Terrace</v>
      </c>
      <c r="D10" s="14" t="str">
        <f>'Complete List_09252026'!F289</f>
        <v>San Francisco</v>
      </c>
      <c r="E10" s="14" t="str">
        <f>'Complete List_09252026'!G289</f>
        <v>CA</v>
      </c>
      <c r="F10" s="14" t="str">
        <f>'Complete List_09252026'!H289</f>
        <v>94118</v>
      </c>
      <c r="G10" s="14" t="str">
        <f>'Complete List_09252026'!J289</f>
        <v>richard.rabbitt@stanfordalumni.org</v>
      </c>
      <c r="H10" s="14" t="str">
        <f>'Complete List_09252026'!K289</f>
        <v>Physical</v>
      </c>
      <c r="I10" s="14" t="str">
        <f>'Complete List_09252026'!L289</f>
        <v>Haight Ashbury, Inner Richmond, Presidio Heights, Western Addition</v>
      </c>
    </row>
    <row r="11" spans="1:10" s="14" customFormat="1" ht="26.45" customHeight="1" x14ac:dyDescent="0.25">
      <c r="A11" s="14" t="str">
        <f>'Complete List_09252026'!D310</f>
        <v>Western Addition Neighborhood Association</v>
      </c>
      <c r="B11" s="14" t="str">
        <f>'Complete List_09252026'!C310</f>
        <v>Jan Bolaffi</v>
      </c>
      <c r="C11" s="14" t="str">
        <f>'Complete List_09252026'!E310</f>
        <v>2331 Bush Street</v>
      </c>
      <c r="D11" s="14" t="str">
        <f>'Complete List_09252026'!F310</f>
        <v>San Francisco</v>
      </c>
      <c r="E11" s="14" t="str">
        <f>'Complete List_09252026'!G310</f>
        <v>CA</v>
      </c>
      <c r="F11" s="14" t="str">
        <f>'Complete List_09252026'!H310</f>
        <v>94115</v>
      </c>
      <c r="G11" s="14" t="str">
        <f>'Complete List_09252026'!J310</f>
        <v>bolaffi@pacbell.net</v>
      </c>
      <c r="H11" s="14" t="str">
        <f>'Complete List_09252026'!K310</f>
        <v>Physical</v>
      </c>
      <c r="I11" s="14" t="str">
        <f>'Complete List_09252026'!L310</f>
        <v>Western Addition</v>
      </c>
    </row>
    <row r="12" spans="1:10" s="14" customFormat="1" ht="17.45" customHeight="1" x14ac:dyDescent="0.25">
      <c r="A12" s="68" t="s">
        <v>1836</v>
      </c>
      <c r="B12" s="72"/>
      <c r="C12" s="72"/>
      <c r="D12" s="72"/>
      <c r="E12" s="72"/>
      <c r="F12" s="72"/>
      <c r="G12" s="72"/>
      <c r="H12" s="72"/>
      <c r="I12" s="72"/>
    </row>
    <row r="13" spans="1:10" s="14" customFormat="1" ht="39.6" customHeight="1" x14ac:dyDescent="0.25">
      <c r="A13" s="14" t="str">
        <f>'Complete List_09252026'!D35</f>
        <v>Board of Supervisors</v>
      </c>
      <c r="B13" s="14" t="str">
        <f>'Complete List_09252026'!C35</f>
        <v>Bilal Mahmood</v>
      </c>
      <c r="C13" s="14" t="str">
        <f>'Complete List_09252026'!E35</f>
        <v>1 Dr. Carlton B Goodlett Place, Room #244</v>
      </c>
      <c r="D13" s="14" t="str">
        <f>'Complete List_09252026'!F35</f>
        <v>San Francisco</v>
      </c>
      <c r="E13" s="14" t="str">
        <f>'Complete List_09252026'!G35</f>
        <v>CA</v>
      </c>
      <c r="F13" s="14" t="str">
        <f>'Complete List_09252026'!H35</f>
        <v>94102-4689</v>
      </c>
      <c r="G13" s="14" t="str">
        <f>'Complete List_09252026'!J35</f>
        <v xml:space="preserve">MahmoodStaff@sfgov.org; Raynell.Cooper@sfgov.org
</v>
      </c>
      <c r="H13" s="14" t="str">
        <f>'Complete List_09252026'!K35</f>
        <v>Both</v>
      </c>
      <c r="I13" s="14" t="str">
        <f>'Complete List_09252026'!L35</f>
        <v>Downtown/Civic Center, Haight Ashbury, Western Addition</v>
      </c>
    </row>
    <row r="14" spans="1:10" s="14" customFormat="1" ht="71.45" customHeight="1" x14ac:dyDescent="0.25">
      <c r="A14" s="14" t="str">
        <f>'Complete List_09252026'!D41</f>
        <v>Board of Supervisors</v>
      </c>
      <c r="B14" s="14" t="str">
        <f>'Complete List_09252026'!C41</f>
        <v>Stephen Sherrill</v>
      </c>
      <c r="C14" s="14" t="str">
        <f>'Complete List_09252026'!E41</f>
        <v>1 Dr. Carlton B Goodlett Place, Room #244</v>
      </c>
      <c r="D14" s="14" t="str">
        <f>'Complete List_09252026'!F41</f>
        <v>San Francisco</v>
      </c>
      <c r="E14" s="14" t="str">
        <f>'Complete List_09252026'!G41</f>
        <v>CA</v>
      </c>
      <c r="F14" s="14" t="str">
        <f>'Complete List_09252026'!H41</f>
        <v>94102-4689</v>
      </c>
      <c r="G14" s="14" t="str">
        <f>'Complete List_09252026'!J41</f>
        <v>SherrillStaff@sfgov.org; 
Lorenzo.Rosas@sfgov.org</v>
      </c>
      <c r="H14" s="14" t="str">
        <f>'Complete List_09252026'!K41</f>
        <v>Both</v>
      </c>
      <c r="I14" s="14" t="str">
        <f>'Complete List_09252026'!L41</f>
        <v>Marina, Pacific Heights, Presidio, Presidio Heights, Russian Hill, Seacliff, Western Addition</v>
      </c>
    </row>
    <row r="15" spans="1:10" s="14" customFormat="1" ht="34.15" customHeight="1" x14ac:dyDescent="0.25">
      <c r="A15" s="14" t="str">
        <f>'Complete List_09252026'!D263</f>
        <v>SIPS Review Group</v>
      </c>
      <c r="B15" s="14" t="str">
        <f>'Complete List_09252026'!C263</f>
        <v>Patrick Mooney</v>
      </c>
      <c r="C15" s="14" t="str">
        <f>'Complete List_09252026'!E263</f>
        <v>62 Carmelita Street</v>
      </c>
      <c r="D15" s="14" t="str">
        <f>'Complete List_09252026'!F263</f>
        <v>San Francisco</v>
      </c>
      <c r="E15" s="14" t="str">
        <f>'Complete List_09252026'!G263</f>
        <v>CA</v>
      </c>
      <c r="F15" s="14">
        <f>'Complete List_09252026'!H263</f>
        <v>94117</v>
      </c>
      <c r="G15" s="14" t="str">
        <f>'Complete List_09252026'!J263</f>
        <v>pmmsfo@gmail.com</v>
      </c>
      <c r="H15" s="14" t="str">
        <f>'Complete List_09252026'!K263</f>
        <v>Both</v>
      </c>
      <c r="I15" s="14" t="str">
        <f>'Complete List_09252026'!L263</f>
        <v>Castro / Upper Market, Haight Ashbury, Western Addition</v>
      </c>
    </row>
    <row r="16" spans="1:10" s="26" customFormat="1" ht="18" customHeight="1" x14ac:dyDescent="0.25">
      <c r="A16" s="70" t="s">
        <v>1842</v>
      </c>
      <c r="B16" s="69"/>
      <c r="C16" s="69"/>
      <c r="D16" s="69"/>
      <c r="E16" s="69"/>
      <c r="F16" s="69"/>
      <c r="G16" s="69"/>
      <c r="H16" s="69"/>
      <c r="I16" s="69"/>
      <c r="J16" s="29"/>
    </row>
    <row r="17" spans="1:9" s="14" customFormat="1" ht="26.45" customHeight="1" x14ac:dyDescent="0.25">
      <c r="A17" s="14" t="str">
        <f>'Complete List_09252026'!D128</f>
        <v>Hayes Valley Safe</v>
      </c>
      <c r="B17" s="14" t="str">
        <f>'Complete List_09252026'!C128</f>
        <v>Richard Johnson</v>
      </c>
      <c r="C17" s="14" t="str">
        <f>'Complete List_09252026'!E128</f>
        <v>415 Buchanan St Apt C</v>
      </c>
      <c r="D17" s="14" t="str">
        <f>'Complete List_09252026'!F128</f>
        <v>San Francisco</v>
      </c>
      <c r="E17" s="14" t="str">
        <f>'Complete List_09252026'!G128</f>
        <v>CA</v>
      </c>
      <c r="F17" s="14">
        <f>'Complete List_09252026'!H128</f>
        <v>94102</v>
      </c>
      <c r="G17" s="14" t="str">
        <f>'Complete List_09252026'!J128</f>
        <v>info@hvsafe.com</v>
      </c>
      <c r="H17" s="14" t="str">
        <f>'Complete List_09252026'!K128</f>
        <v>Electronic</v>
      </c>
      <c r="I17" s="14" t="str">
        <f>'Complete List_09252026'!L128</f>
        <v>Castro/Upper Market, Downtown/Civic Center, Mission, South of Market, Western Addition</v>
      </c>
    </row>
    <row r="18" spans="1:9" s="14" customFormat="1" ht="26.45" customHeight="1" x14ac:dyDescent="0.25">
      <c r="A18" s="14" t="str">
        <f>'Complete List_09252026'!D127</f>
        <v xml:space="preserve">Hayes Valley Small Business Association </v>
      </c>
      <c r="B18" s="14" t="str">
        <f>'Complete List_09252026'!C127</f>
        <v>Ramiz Y</v>
      </c>
      <c r="C18" s="14" t="str">
        <f>'Complete List_09252026'!E127</f>
        <v>559 Hayes Street</v>
      </c>
      <c r="D18" s="14" t="str">
        <f>'Complete List_09252026'!F127</f>
        <v>San Francisco</v>
      </c>
      <c r="E18" s="14" t="str">
        <f>'Complete List_09252026'!G127</f>
        <v>CA</v>
      </c>
      <c r="F18" s="14">
        <f>'Complete List_09252026'!H127</f>
        <v>94102</v>
      </c>
      <c r="G18" s="14" t="str">
        <f>'Complete List_09252026'!J127</f>
        <v>info@hvsba.org</v>
      </c>
      <c r="H18" s="14" t="str">
        <f>'Complete List_09252026'!K127</f>
        <v>Electronic</v>
      </c>
      <c r="I18" s="14" t="str">
        <f>'Complete List_09252026'!L127</f>
        <v>Castro/Upper Market, Downtown/Civic Center, Mission, South of Market, Western Addition</v>
      </c>
    </row>
    <row r="19" spans="1:9" s="14" customFormat="1" ht="26.45" customHeight="1" x14ac:dyDescent="0.25">
      <c r="A19" s="14" t="str">
        <f>'Complete List_09252026'!D161</f>
        <v>Lower Haight Merchants &amp; Neighbors Association</v>
      </c>
      <c r="B19" s="14" t="str">
        <f>'Complete List_09252026'!C161</f>
        <v>Natalie Burdick</v>
      </c>
      <c r="C19" s="14" t="str">
        <f>'Complete List_09252026'!E161</f>
        <v>137 Buchanan Street</v>
      </c>
      <c r="D19" s="14" t="str">
        <f>'Complete List_09252026'!F161</f>
        <v>San Francisco</v>
      </c>
      <c r="E19" s="14" t="str">
        <f>'Complete List_09252026'!G161</f>
        <v>CA</v>
      </c>
      <c r="F19" s="14">
        <f>'Complete List_09252026'!H161</f>
        <v>94102</v>
      </c>
      <c r="G19" s="14" t="str">
        <f>'Complete List_09252026'!J161</f>
        <v>lowerhaight415@gmail.com</v>
      </c>
      <c r="H19" s="14" t="str">
        <f>'Complete List_09252026'!K161</f>
        <v>Electronic</v>
      </c>
      <c r="I19" s="14" t="str">
        <f>'Complete List_09252026'!L161</f>
        <v>Western Addition</v>
      </c>
    </row>
    <row r="20" spans="1:9" s="14" customFormat="1" ht="26.45" customHeight="1" x14ac:dyDescent="0.25">
      <c r="A20" s="14" t="str">
        <f>'Complete List_09252026'!D13</f>
        <v>Alamo Square Neighborhood Assocation</v>
      </c>
      <c r="B20" s="14" t="str">
        <f>'Complete List_09252026'!C13</f>
        <v>ASNA Board</v>
      </c>
      <c r="C20" s="14" t="str">
        <f>'Complete List_09252026'!E13</f>
        <v>530 Divisadero Street #176</v>
      </c>
      <c r="D20" s="14" t="str">
        <f>'Complete List_09252026'!F13</f>
        <v>San Francisco</v>
      </c>
      <c r="E20" s="14" t="str">
        <f>'Complete List_09252026'!G13</f>
        <v>CA</v>
      </c>
      <c r="F20" s="14">
        <f>'Complete List_09252026'!H13</f>
        <v>94117</v>
      </c>
      <c r="G20" s="14" t="str">
        <f>'Complete List_09252026'!J13</f>
        <v>board@alamosq.org</v>
      </c>
      <c r="H20" s="14" t="str">
        <f>'Complete List_09252026'!K13</f>
        <v>Electronic</v>
      </c>
      <c r="I20" s="14" t="str">
        <f>'Complete List_09252026'!L13</f>
        <v>Western Addition</v>
      </c>
    </row>
    <row r="21" spans="1:9" s="14" customFormat="1" x14ac:dyDescent="0.25">
      <c r="A21" s="14" t="str">
        <f>'Complete List_09252026'!D56</f>
        <v>Cathedral Hill Neighbors Association</v>
      </c>
      <c r="B21" s="14" t="str">
        <f>'Complete List_09252026'!C56</f>
        <v>Marlayne Morgan</v>
      </c>
      <c r="C21" s="14" t="str">
        <f>'Complete List_09252026'!E56</f>
        <v>1200 Gough Street, #17A</v>
      </c>
      <c r="D21" s="14" t="str">
        <f>'Complete List_09252026'!F56</f>
        <v>San Francisco</v>
      </c>
      <c r="E21" s="14" t="str">
        <f>'Complete List_09252026'!G56</f>
        <v>CA</v>
      </c>
      <c r="F21" s="14">
        <f>'Complete List_09252026'!H56</f>
        <v>94109</v>
      </c>
      <c r="G21" s="14" t="str">
        <f>'Complete List_09252026'!J56</f>
        <v>marlayne16@gmail.com</v>
      </c>
      <c r="H21" s="14" t="str">
        <f>'Complete List_09252026'!K56</f>
        <v>Electronic</v>
      </c>
      <c r="I21" s="14" t="str">
        <f>'Complete List_09252026'!L56</f>
        <v>Downtown/Civic Center, Western Addition</v>
      </c>
    </row>
    <row r="22" spans="1:9" s="14" customFormat="1" ht="26.45" customHeight="1" x14ac:dyDescent="0.25">
      <c r="A22" s="14" t="str">
        <f>'Complete List_09252026'!D87</f>
        <v>Duboce Triangle Neighborhood Association</v>
      </c>
      <c r="B22" s="14" t="str">
        <f>'Complete List_09252026'!C87</f>
        <v>Kevin Riley</v>
      </c>
      <c r="C22" s="14" t="str">
        <f>'Complete List_09252026'!E87</f>
        <v>2261 Market Street PMB #301</v>
      </c>
      <c r="D22" s="14" t="str">
        <f>'Complete List_09252026'!F87</f>
        <v>San Francisco</v>
      </c>
      <c r="E22" s="14" t="str">
        <f>'Complete List_09252026'!G87</f>
        <v>CA</v>
      </c>
      <c r="F22" s="14" t="str">
        <f>'Complete List_09252026'!H87</f>
        <v>94114</v>
      </c>
      <c r="G22" s="14" t="str">
        <f>'Complete List_09252026'!J87</f>
        <v>landuse@dtna.org</v>
      </c>
      <c r="H22" s="14" t="str">
        <f>'Complete List_09252026'!K87</f>
        <v>Electronic</v>
      </c>
      <c r="I22" s="14" t="str">
        <f>'Complete List_09252026'!L87</f>
        <v>Castro/Upper Market, Western Addition</v>
      </c>
    </row>
    <row r="23" spans="1:9" s="14" customFormat="1" x14ac:dyDescent="0.25">
      <c r="A23" s="14" t="str">
        <f>'Complete List_09252026'!D101</f>
        <v>Fillmore Merchants Association</v>
      </c>
      <c r="B23" s="14" t="str">
        <f>'Complete List_09252026'!C101</f>
        <v>Patti Mangan</v>
      </c>
      <c r="C23" s="14" t="str">
        <f>'Complete List_09252026'!E101</f>
        <v>2443 Fillmore Street, #198</v>
      </c>
      <c r="D23" s="14" t="str">
        <f>'Complete List_09252026'!F101</f>
        <v>San Francisco</v>
      </c>
      <c r="E23" s="14" t="str">
        <f>'Complete List_09252026'!G101</f>
        <v>CA</v>
      </c>
      <c r="F23" s="14">
        <f>'Complete List_09252026'!H101</f>
        <v>94115</v>
      </c>
      <c r="G23" s="14" t="str">
        <f>'Complete List_09252026'!J101</f>
        <v>fma@fillmorestreetsf.com</v>
      </c>
      <c r="H23" s="14" t="str">
        <f>'Complete List_09252026'!K101</f>
        <v>Electronic</v>
      </c>
      <c r="I23" s="14" t="str">
        <f>'Complete List_09252026'!L101</f>
        <v>Pacific Heights, Western Addition</v>
      </c>
    </row>
    <row r="24" spans="1:9" s="14" customFormat="1" ht="26.45" customHeight="1" x14ac:dyDescent="0.25">
      <c r="A24" s="14" t="str">
        <f>'Complete List_09252026'!D126</f>
        <v>Hayes Valley Neighborhood Association</v>
      </c>
      <c r="B24" s="14" t="str">
        <f>'Complete List_09252026'!C126</f>
        <v>Jennifer Laska</v>
      </c>
      <c r="C24" s="14" t="str">
        <f>'Complete List_09252026'!E126</f>
        <v>400 Grove Street, Suite 3</v>
      </c>
      <c r="D24" s="14" t="str">
        <f>'Complete List_09252026'!F126</f>
        <v>San Francisco</v>
      </c>
      <c r="E24" s="14" t="str">
        <f>'Complete List_09252026'!G126</f>
        <v>CA</v>
      </c>
      <c r="F24" s="14" t="str">
        <f>'Complete List_09252026'!H126</f>
        <v>94102</v>
      </c>
      <c r="G24" s="14" t="str">
        <f>'Complete List_09252026'!J126</f>
        <v>president@hayesvalleysf.org</v>
      </c>
      <c r="H24" s="14" t="str">
        <f>'Complete List_09252026'!K126</f>
        <v>Electronic</v>
      </c>
      <c r="I24" s="14" t="str">
        <f>'Complete List_09252026'!L126</f>
        <v>Castro/Upper Market, Downtown/Civic Center, Mission, South of Market, Western Addition</v>
      </c>
    </row>
    <row r="25" spans="1:9" s="14" customFormat="1" x14ac:dyDescent="0.25">
      <c r="A25" s="14" t="str">
        <f>'Complete List_09252026'!D140</f>
        <v>Japantown Community Benefit District</v>
      </c>
      <c r="B25" s="14" t="str">
        <f>'Complete List_09252026'!C140</f>
        <v>Grace Horikiri</v>
      </c>
      <c r="C25" s="14" t="str">
        <f>'Complete List_09252026'!E140</f>
        <v>1765 Sutter Street, 2nd Floor</v>
      </c>
      <c r="D25" s="14" t="str">
        <f>'Complete List_09252026'!F140</f>
        <v>San Francisco</v>
      </c>
      <c r="E25" s="14" t="str">
        <f>'Complete List_09252026'!G140</f>
        <v>CA</v>
      </c>
      <c r="F25" s="14">
        <f>'Complete List_09252026'!H140</f>
        <v>94115</v>
      </c>
      <c r="G25" s="14" t="str">
        <f>'Complete List_09252026'!J140</f>
        <v>info@jtowncbd.org</v>
      </c>
      <c r="H25" s="14" t="str">
        <f>'Complete List_09252026'!K140</f>
        <v>Electronic</v>
      </c>
      <c r="I25" s="14" t="str">
        <f>'Complete List_09252026'!L140</f>
        <v>Western Addition</v>
      </c>
    </row>
    <row r="26" spans="1:9" s="14" customFormat="1" x14ac:dyDescent="0.25">
      <c r="A26" s="14" t="str">
        <f>'Complete List_09252026'!D141</f>
        <v>Japantown Cultural District</v>
      </c>
      <c r="B26" s="14" t="str">
        <f>'Complete List_09252026'!C141</f>
        <v>Dr. Emily Murase</v>
      </c>
      <c r="C26" s="14" t="str">
        <f>'Complete List_09252026'!E141</f>
        <v>1765 Sutter Street</v>
      </c>
      <c r="D26" s="14" t="str">
        <f>'Complete List_09252026'!F141</f>
        <v>San Francisco</v>
      </c>
      <c r="E26" s="14" t="str">
        <f>'Complete List_09252026'!G141</f>
        <v>CA</v>
      </c>
      <c r="F26" s="14">
        <f>'Complete List_09252026'!H141</f>
        <v>94115</v>
      </c>
      <c r="G26" s="14" t="str">
        <f>'Complete List_09252026'!J141</f>
        <v>info@japantowntaskforce.org</v>
      </c>
      <c r="H26" s="14" t="str">
        <f>'Complete List_09252026'!K141</f>
        <v>Electronic</v>
      </c>
      <c r="I26" s="14" t="str">
        <f>'Complete List_09252026'!L141</f>
        <v>Western Addition</v>
      </c>
    </row>
    <row r="27" spans="1:9" s="14" customFormat="1" ht="41.25" customHeight="1" x14ac:dyDescent="0.25">
      <c r="A27" s="14" t="str">
        <f>'Complete List_09252026'!D142</f>
        <v>Japantown Merchants Association
c/o Japan Center Garages</v>
      </c>
      <c r="B27" s="14" t="str">
        <f>'Complete List_09252026'!C142</f>
        <v>Richard Hashimoto</v>
      </c>
      <c r="C27" s="14" t="str">
        <f>'Complete List_09252026'!E142</f>
        <v>1759 Sutter Street</v>
      </c>
      <c r="D27" s="14" t="str">
        <f>'Complete List_09252026'!F142</f>
        <v>San Francisco</v>
      </c>
      <c r="E27" s="14" t="str">
        <f>'Complete List_09252026'!G142</f>
        <v>CA</v>
      </c>
      <c r="F27" s="14" t="str">
        <f>'Complete List_09252026'!H142</f>
        <v>94115</v>
      </c>
      <c r="G27" s="14" t="str">
        <f>'Complete List_09252026'!J142</f>
        <v>rich.hashimoto@gmail.com</v>
      </c>
      <c r="H27" s="14" t="str">
        <f>'Complete List_09252026'!K142</f>
        <v>Electronic</v>
      </c>
      <c r="I27" s="14" t="str">
        <f>'Complete List_09252026'!L142</f>
        <v>Western Addition</v>
      </c>
    </row>
    <row r="28" spans="1:9" s="14" customFormat="1" ht="41.25" customHeight="1" x14ac:dyDescent="0.25">
      <c r="A28" s="14" t="str">
        <f>'Complete List_09252026'!D143</f>
        <v>Japantown Task Force</v>
      </c>
      <c r="B28" s="14" t="str">
        <f>'Complete List_09252026'!C143</f>
        <v>Glynis Nakahara</v>
      </c>
      <c r="C28" s="14" t="str">
        <f>'Complete List_09252026'!E143</f>
        <v>1765 Sutter Street</v>
      </c>
      <c r="D28" s="14" t="str">
        <f>'Complete List_09252026'!F143</f>
        <v>San Francisco</v>
      </c>
      <c r="E28" s="14" t="str">
        <f>'Complete List_09252026'!G143</f>
        <v>CA</v>
      </c>
      <c r="F28" s="14">
        <f>'Complete List_09252026'!H143</f>
        <v>94115</v>
      </c>
      <c r="G28" s="14" t="str">
        <f>'Complete List_09252026'!J143</f>
        <v>gnakahara@yahoo.com</v>
      </c>
      <c r="H28" s="14" t="str">
        <f>'Complete List_09252026'!K143</f>
        <v>Electronic</v>
      </c>
      <c r="I28" s="14" t="str">
        <f>'Complete List_09252026'!L143</f>
        <v>Western Addition</v>
      </c>
    </row>
    <row r="29" spans="1:9" s="14" customFormat="1" ht="26.45" customHeight="1" x14ac:dyDescent="0.25">
      <c r="A29" s="14" t="str">
        <f>'Complete List_09252026'!D162</f>
        <v>Lower Haight Merchants &amp; Neighbors Association</v>
      </c>
      <c r="B29" s="14" t="str">
        <f>'Complete List_09252026'!C162</f>
        <v xml:space="preserve">Lawrence Li </v>
      </c>
      <c r="C29" s="14" t="str">
        <f>'Complete List_09252026'!E162</f>
        <v>498 Waller Street, Apt. 9</v>
      </c>
      <c r="D29" s="14" t="str">
        <f>'Complete List_09252026'!F162</f>
        <v>San Francisco</v>
      </c>
      <c r="E29" s="14" t="str">
        <f>'Complete List_09252026'!G162</f>
        <v>CA</v>
      </c>
      <c r="F29" s="14">
        <f>'Complete List_09252026'!H162</f>
        <v>94117</v>
      </c>
      <c r="G29" s="14" t="str">
        <f>'Complete List_09252026'!J162</f>
        <v>notices@bureausf.com</v>
      </c>
      <c r="H29" s="14" t="str">
        <f>'Complete List_09252026'!K162</f>
        <v>Electronic</v>
      </c>
      <c r="I29" s="14" t="str">
        <f>'Complete List_09252026'!L162</f>
        <v>Western Addition</v>
      </c>
    </row>
    <row r="30" spans="1:9" s="14" customFormat="1" ht="51.75" customHeight="1" x14ac:dyDescent="0.25">
      <c r="A30" s="14" t="str">
        <f>'Complete List_09252026'!D199</f>
        <v>Nihonmachi Little Friends</v>
      </c>
      <c r="B30" s="14" t="str">
        <f>'Complete List_09252026'!C199</f>
        <v>Cathy Inamasu</v>
      </c>
      <c r="C30" s="14" t="str">
        <f>'Complete List_09252026'!E199</f>
        <v>1830 Sutter Street</v>
      </c>
      <c r="D30" s="14" t="str">
        <f>'Complete List_09252026'!F199</f>
        <v>San Francisco</v>
      </c>
      <c r="E30" s="14" t="str">
        <f>'Complete List_09252026'!G199</f>
        <v>CA</v>
      </c>
      <c r="F30" s="14" t="str">
        <f>'Complete List_09252026'!H199</f>
        <v>94115</v>
      </c>
      <c r="G30" s="14" t="str">
        <f>'Complete List_09252026'!J199</f>
        <v>nlfchildcare@yahoo.com</v>
      </c>
      <c r="H30" s="14" t="str">
        <f>'Complete List_09252026'!K199</f>
        <v>Electronic</v>
      </c>
      <c r="I30" s="14" t="str">
        <f>'Complete List_09252026'!L199</f>
        <v>Western Addition</v>
      </c>
    </row>
    <row r="31" spans="1:9" s="14" customFormat="1" ht="26.45" customHeight="1" x14ac:dyDescent="0.25">
      <c r="A31" s="14" t="str">
        <f>'Complete List_09252026'!D209</f>
        <v>North of Panhandle Neighborhood Association</v>
      </c>
      <c r="B31" s="14" t="str">
        <f>'Complete List_09252026'!C209</f>
        <v>Meg  Rahner</v>
      </c>
      <c r="C31" s="14" t="str">
        <f>'Complete List_09252026'!E209</f>
        <v>1936 McAllister Street, #1</v>
      </c>
      <c r="D31" s="14" t="str">
        <f>'Complete List_09252026'!F209</f>
        <v>San Franicsco</v>
      </c>
      <c r="E31" s="14" t="str">
        <f>'Complete List_09252026'!G209</f>
        <v>CA</v>
      </c>
      <c r="F31" s="14">
        <f>'Complete List_09252026'!H209</f>
        <v>94115</v>
      </c>
      <c r="G31" s="14" t="str">
        <f>'Complete List_09252026'!J209</f>
        <v>board@nopna.org</v>
      </c>
      <c r="H31" s="14" t="str">
        <f>'Complete List_09252026'!K209</f>
        <v>Electronic</v>
      </c>
      <c r="I31" s="14" t="str">
        <f>'Complete List_09252026'!L209</f>
        <v>Haight Ashbury, Western Addition</v>
      </c>
    </row>
    <row r="32" spans="1:9" s="14" customFormat="1" ht="52.9" customHeight="1" x14ac:dyDescent="0.25">
      <c r="A32" s="14" t="str">
        <f>'Complete List_09252026'!D255</f>
        <v>San Francisco Land Use Coalition (SFLUC)</v>
      </c>
      <c r="B32" s="14" t="str">
        <f>'Complete List_09252026'!C255</f>
        <v>Gary Weiss</v>
      </c>
      <c r="C32" s="14" t="str">
        <f>'Complete List_09252026'!E255</f>
        <v>78 Mars Street</v>
      </c>
      <c r="D32" s="14" t="str">
        <f>'Complete List_09252026'!F255</f>
        <v>San Francisco</v>
      </c>
      <c r="E32" s="14" t="str">
        <f>'Complete List_09252026'!G255</f>
        <v>CA</v>
      </c>
      <c r="F32" s="14">
        <f>'Complete List_09252026'!H255</f>
        <v>94114</v>
      </c>
      <c r="G32" s="14" t="str">
        <f>'Complete List_09252026'!J255</f>
        <v>garysfx@gmail.com</v>
      </c>
      <c r="H32" s="14" t="str">
        <f>'Complete List_09252026'!K255</f>
        <v>Electronic</v>
      </c>
      <c r="I32" s="14" t="str">
        <f>'Complete List_09252026'!L255</f>
        <v>Castro/Upper Market, Diamond Heights, Glen Park, Haight Ashbury, Mission, Noe Valley, South of Market, Twin Peaks, Upper Market, Western Addition</v>
      </c>
    </row>
    <row r="33" spans="1:9" ht="66" customHeight="1" x14ac:dyDescent="0.25">
      <c r="A33" s="11" t="s">
        <v>265</v>
      </c>
      <c r="B33" s="11" t="s">
        <v>264</v>
      </c>
      <c r="C33" s="11" t="s">
        <v>266</v>
      </c>
      <c r="D33" s="11" t="s">
        <v>16</v>
      </c>
      <c r="E33" s="11" t="s">
        <v>17</v>
      </c>
      <c r="F33" s="14">
        <v>94134</v>
      </c>
      <c r="G33" s="11" t="s">
        <v>268</v>
      </c>
      <c r="H33" s="11" t="s">
        <v>63</v>
      </c>
      <c r="I33" s="11" t="s">
        <v>269</v>
      </c>
    </row>
    <row r="34" spans="1:9" ht="52.9" customHeight="1" x14ac:dyDescent="0.25">
      <c r="A34" s="11" t="str">
        <f>'Complete List_09252026'!D177</f>
        <v>Mid-Market Neighbors</v>
      </c>
      <c r="B34" s="11" t="str">
        <f>'Complete List_09252026'!C177</f>
        <v>Chuck Obermeyer</v>
      </c>
      <c r="C34" s="11" t="str">
        <f>'Complete List_09252026'!E177</f>
        <v>30 7th Street</v>
      </c>
      <c r="D34" s="11" t="str">
        <f>'Complete List_09252026'!F177</f>
        <v>San Francisco</v>
      </c>
      <c r="E34" s="11" t="str">
        <f>'Complete List_09252026'!G177</f>
        <v>CA</v>
      </c>
      <c r="F34" s="11">
        <f>'Complete List_09252026'!H177</f>
        <v>94103</v>
      </c>
      <c r="G34" s="11" t="str">
        <f>'Complete List_09252026'!J177</f>
        <v>chuck@midmarketneighbors.org</v>
      </c>
      <c r="H34" s="11" t="str">
        <f>'Complete List_09252026'!K177</f>
        <v>Electronic</v>
      </c>
      <c r="I34" s="11" t="str">
        <f>'Complete List_09252026'!L177</f>
        <v>Castro/Upper Market, Chinatown, Downtown/Civic Center, Financial District, Nob Hill, Potrero Hill, South of Market, Western Addition</v>
      </c>
    </row>
    <row r="35" spans="1:9" ht="75.75" customHeight="1" x14ac:dyDescent="0.25">
      <c r="A35" s="11" t="str">
        <f>'Complete List_09252026'!D154</f>
        <v>Liberation Alliance for Economic and Social Change</v>
      </c>
      <c r="B35" s="11" t="str">
        <f>'Complete List_09252026'!C154</f>
        <v>Keith Pavlik</v>
      </c>
      <c r="C35" s="11" t="str">
        <f>'Complete List_09252026'!E154</f>
        <v>2969 Mission Street</v>
      </c>
      <c r="D35" s="11" t="str">
        <f>'Complete List_09252026'!F154</f>
        <v>San Francisco</v>
      </c>
      <c r="E35" s="11" t="str">
        <f>'Complete List_09252026'!G154</f>
        <v>CA</v>
      </c>
      <c r="F35" s="11">
        <f>'Complete List_09252026'!H154</f>
        <v>94110</v>
      </c>
      <c r="G35" s="11" t="str">
        <f>'Complete List_09252026'!J154</f>
        <v>info@liberationalliance.org</v>
      </c>
      <c r="H35" s="11" t="str">
        <f>'Complete List_09252026'!K154</f>
        <v>Electronic</v>
      </c>
      <c r="I35" s="11" t="str">
        <f>'Complete List_09252026'!L154</f>
        <v>Bayview, Bernal Heights, Castro/Upper Market, Chinatown, Downtown/Civic Center, Excelsior, Mission, Nob Hill, Noe Valley, Outer Mission, Potrero Hill, South of Market, Western Addition</v>
      </c>
    </row>
    <row r="36" spans="1:9" s="5" customFormat="1" ht="26.45" customHeight="1" x14ac:dyDescent="0.25">
      <c r="A36" s="5" t="str">
        <f>'Complete List_09252026'!D124</f>
        <v>Haight Ashbury Panhandle Tenants Into Community (HAPTIC)</v>
      </c>
      <c r="B36" s="5" t="str">
        <f>'Complete List_09252026'!C124</f>
        <v>Nick Chapman</v>
      </c>
      <c r="C36" s="5" t="str">
        <f>'Complete List_09252026'!E124</f>
        <v>1484 Page Street</v>
      </c>
      <c r="D36" s="5" t="str">
        <f>'Complete List_09252026'!F124</f>
        <v>San Francisco</v>
      </c>
      <c r="E36" s="5" t="str">
        <f>'Complete List_09252026'!G124</f>
        <v>CA</v>
      </c>
      <c r="F36" s="5">
        <f>'Complete List_09252026'!H124</f>
        <v>94117</v>
      </c>
      <c r="G36" s="5" t="str">
        <f>'Complete List_09252026'!J124</f>
        <v>sfhaptic@gmail.com</v>
      </c>
      <c r="H36" s="5" t="str">
        <f>'Complete List_09252026'!K124</f>
        <v>Electronic</v>
      </c>
      <c r="I36" s="5" t="str">
        <f>'Complete List_09252026'!L124</f>
        <v>Golden Gate Park, Haight Ashbury, Western Addition</v>
      </c>
    </row>
  </sheetData>
  <autoFilter ref="A1:I21" xr:uid="{00000000-0009-0000-0000-000026000000}">
    <sortState xmlns:xlrd2="http://schemas.microsoft.com/office/spreadsheetml/2017/richdata2" ref="A2:I33">
      <sortCondition descending="1" ref="H1:H21"/>
    </sortState>
  </autoFilter>
  <mergeCells count="3">
    <mergeCell ref="A16:I16"/>
    <mergeCell ref="A12:I12"/>
    <mergeCell ref="A2:I2"/>
  </mergeCells>
  <pageMargins left="0.7" right="0.7" top="0.75" bottom="0.75" header="0.3" footer="0.3"/>
  <pageSetup scale="52"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39</vt:i4>
      </vt:variant>
      <vt:variant>
        <vt:lpstr>Named Ranges</vt:lpstr>
      </vt:variant>
      <vt:variant>
        <vt:i4>1</vt:i4>
      </vt:variant>
    </vt:vector>
  </HeadingPairs>
  <TitlesOfParts>
    <vt:vector size="40" baseType="lpstr">
      <vt:lpstr>Complete List_09252026</vt:lpstr>
      <vt:lpstr>Citywide</vt:lpstr>
      <vt:lpstr>Bayview</vt:lpstr>
      <vt:lpstr>Bernal Heights</vt:lpstr>
      <vt:lpstr>Castro Upper Market</vt:lpstr>
      <vt:lpstr>Chinatown</vt:lpstr>
      <vt:lpstr>Crocker Amazon</vt:lpstr>
      <vt:lpstr>Diamond Heights</vt:lpstr>
      <vt:lpstr>Downtown Civic Center</vt:lpstr>
      <vt:lpstr>Excelsior</vt:lpstr>
      <vt:lpstr>Financial District</vt:lpstr>
      <vt:lpstr>Glen Park</vt:lpstr>
      <vt:lpstr>Golden Gate Park</vt:lpstr>
      <vt:lpstr>Haight Ashbury</vt:lpstr>
      <vt:lpstr>Inner Richmond</vt:lpstr>
      <vt:lpstr>Inner Sunset</vt:lpstr>
      <vt:lpstr>Lakeshore</vt:lpstr>
      <vt:lpstr>Marina</vt:lpstr>
      <vt:lpstr>Mission</vt:lpstr>
      <vt:lpstr>Nob Hill</vt:lpstr>
      <vt:lpstr>Noe Valley</vt:lpstr>
      <vt:lpstr>North Beach</vt:lpstr>
      <vt:lpstr>Ocean View</vt:lpstr>
      <vt:lpstr>Outer Mission</vt:lpstr>
      <vt:lpstr>Outer Richmond</vt:lpstr>
      <vt:lpstr>Outer Sunset</vt:lpstr>
      <vt:lpstr>Pacific Heights</vt:lpstr>
      <vt:lpstr>Parkside</vt:lpstr>
      <vt:lpstr>Potrero Hill</vt:lpstr>
      <vt:lpstr>Presidio</vt:lpstr>
      <vt:lpstr>Presidio Heights</vt:lpstr>
      <vt:lpstr>Russian Hill</vt:lpstr>
      <vt:lpstr>Seacliff</vt:lpstr>
      <vt:lpstr>South of Market</vt:lpstr>
      <vt:lpstr>Treasure Island YBI</vt:lpstr>
      <vt:lpstr>Twin Peaks</vt:lpstr>
      <vt:lpstr>Visitacion Valley</vt:lpstr>
      <vt:lpstr>West of Twin Peaks</vt:lpstr>
      <vt:lpstr>Western Addition</vt:lpstr>
      <vt:lpstr>Neighborhood_Main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alton chinn</dc:creator>
  <cp:lastModifiedBy>SooHoo, Candace (CPC)</cp:lastModifiedBy>
  <dcterms:created xsi:type="dcterms:W3CDTF">2013-06-05T17:30:06Z</dcterms:created>
  <dcterms:modified xsi:type="dcterms:W3CDTF">2026-09-26T00:33:04Z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0x0101009D4D76249269FF40A14EBD4CAF7FB520</vt:lpwstr>
  </property>
</Properties>
</file>